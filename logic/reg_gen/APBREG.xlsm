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yo/work/app_tool/logic/reg_gen/"/>
    </mc:Choice>
  </mc:AlternateContent>
  <xr:revisionPtr revIDLastSave="0" documentId="13_ncr:1_{82B12A9A-E966-544B-81A6-AD7E41F71033}" xr6:coauthVersionLast="47" xr6:coauthVersionMax="47" xr10:uidLastSave="{00000000-0000-0000-0000-000000000000}"/>
  <bookViews>
    <workbookView xWindow="0" yWindow="0" windowWidth="28800" windowHeight="18000" xr2:uid="{70E6616F-42FD-924A-9E67-6CDF2112F8DB}"/>
  </bookViews>
  <sheets>
    <sheet name="Template" sheetId="1" r:id="rId1"/>
    <sheet name="Readme" sheetId="3" r:id="rId2"/>
    <sheet name="Ref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3" i="1" l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K10" i="1"/>
  <c r="K9" i="1"/>
  <c r="K8" i="1"/>
  <c r="K7" i="1"/>
  <c r="K6" i="1"/>
  <c r="D10" i="1"/>
  <c r="D9" i="1"/>
  <c r="D8" i="1"/>
  <c r="D7" i="1"/>
  <c r="D6" i="1"/>
</calcChain>
</file>

<file path=xl/sharedStrings.xml><?xml version="1.0" encoding="utf-8"?>
<sst xmlns="http://schemas.openxmlformats.org/spreadsheetml/2006/main" count="376" uniqueCount="132">
  <si>
    <t>RegName</t>
    <phoneticPr fontId="1"/>
  </si>
  <si>
    <t>BitName</t>
    <phoneticPr fontId="1"/>
  </si>
  <si>
    <t>MSB</t>
    <phoneticPr fontId="1"/>
  </si>
  <si>
    <t>LSB</t>
    <phoneticPr fontId="1"/>
  </si>
  <si>
    <t>Type</t>
    <phoneticPr fontId="1"/>
  </si>
  <si>
    <t>RO</t>
    <phoneticPr fontId="1"/>
  </si>
  <si>
    <t>RW</t>
    <phoneticPr fontId="1"/>
  </si>
  <si>
    <t>Description</t>
    <phoneticPr fontId="1"/>
  </si>
  <si>
    <t>EOF</t>
    <phoneticPr fontId="1"/>
  </si>
  <si>
    <t>en</t>
    <phoneticPr fontId="1"/>
  </si>
  <si>
    <t>RW</t>
  </si>
  <si>
    <t>AMBA5</t>
    <phoneticPr fontId="1"/>
  </si>
  <si>
    <t>PCLK</t>
    <phoneticPr fontId="1"/>
  </si>
  <si>
    <t>PRESETN</t>
    <phoneticPr fontId="1"/>
  </si>
  <si>
    <t>PADDR</t>
    <phoneticPr fontId="1"/>
  </si>
  <si>
    <t>PPROT</t>
    <phoneticPr fontId="1"/>
  </si>
  <si>
    <t>PSEL</t>
    <phoneticPr fontId="1"/>
  </si>
  <si>
    <t>PENABLE</t>
    <phoneticPr fontId="1"/>
  </si>
  <si>
    <t>PWRITE</t>
    <phoneticPr fontId="1"/>
  </si>
  <si>
    <t>PWDATA</t>
    <phoneticPr fontId="1"/>
  </si>
  <si>
    <t>PSTRB</t>
    <phoneticPr fontId="1"/>
  </si>
  <si>
    <t>PREADY</t>
    <phoneticPr fontId="1"/>
  </si>
  <si>
    <t>PRDATA</t>
    <phoneticPr fontId="1"/>
  </si>
  <si>
    <t>PSLVERR</t>
    <phoneticPr fontId="1"/>
  </si>
  <si>
    <t>PNSE</t>
    <phoneticPr fontId="1"/>
  </si>
  <si>
    <t>Support</t>
    <phoneticPr fontId="1"/>
  </si>
  <si>
    <t>Support (No Wait. Fixed High)</t>
    <phoneticPr fontId="1"/>
  </si>
  <si>
    <t>Support (No Error. Fixed 0)</t>
    <phoneticPr fontId="1"/>
  </si>
  <si>
    <t>This Design I/F</t>
    <phoneticPr fontId="1"/>
  </si>
  <si>
    <t>pclk_i</t>
    <phoneticPr fontId="1"/>
  </si>
  <si>
    <t>presetn_i</t>
    <phoneticPr fontId="1"/>
  </si>
  <si>
    <t>paddr_i</t>
    <phoneticPr fontId="1"/>
  </si>
  <si>
    <t>-</t>
    <phoneticPr fontId="1"/>
  </si>
  <si>
    <t>psel_i</t>
    <phoneticPr fontId="1"/>
  </si>
  <si>
    <t>penable_i</t>
    <phoneticPr fontId="1"/>
  </si>
  <si>
    <t>pwrite_i</t>
    <phoneticPr fontId="1"/>
  </si>
  <si>
    <t>pwdata_i</t>
    <phoneticPr fontId="1"/>
  </si>
  <si>
    <t>pstrb_i</t>
    <phoneticPr fontId="1"/>
  </si>
  <si>
    <t>pready_o</t>
    <phoneticPr fontId="1"/>
  </si>
  <si>
    <t>prdata_o</t>
    <phoneticPr fontId="1"/>
  </si>
  <si>
    <t>pslverr_o</t>
    <phoneticPr fontId="1"/>
  </si>
  <si>
    <t>Not Support. 
(These generated registers does not depend on Access type.)</t>
    <phoneticPr fontId="1"/>
  </si>
  <si>
    <t>Refert the following table to connect APB interconnect bus.</t>
    <phoneticPr fontId="1"/>
  </si>
  <si>
    <t>AMBA4</t>
    <phoneticPr fontId="1"/>
  </si>
  <si>
    <t>AMBA3</t>
    <phoneticPr fontId="1"/>
  </si>
  <si>
    <t>Not support
(fixed High. Byte access is not possible. any accesses treated as full bit access.)</t>
    <phoneticPr fontId="1"/>
  </si>
  <si>
    <t>stat</t>
    <phoneticPr fontId="1"/>
  </si>
  <si>
    <t>status</t>
    <phoneticPr fontId="1"/>
  </si>
  <si>
    <t>N</t>
  </si>
  <si>
    <t>N</t>
    <phoneticPr fontId="1"/>
  </si>
  <si>
    <t>addr</t>
    <phoneticPr fontId="1"/>
  </si>
  <si>
    <t>ctrl2</t>
    <phoneticPr fontId="1"/>
  </si>
  <si>
    <t>ctrl1</t>
    <phoneticPr fontId="1"/>
  </si>
  <si>
    <t>Support/Not Support</t>
    <phoneticPr fontId="1"/>
  </si>
  <si>
    <t>RO</t>
  </si>
  <si>
    <t>wdata</t>
    <phoneticPr fontId="1"/>
  </si>
  <si>
    <t>rdata</t>
    <phoneticPr fontId="1"/>
  </si>
  <si>
    <t>Address Width</t>
    <phoneticPr fontId="1"/>
  </si>
  <si>
    <t>Data Byte Digit</t>
    <phoneticPr fontId="1"/>
  </si>
  <si>
    <t>Word Address
(dec)</t>
    <phoneticPr fontId="1"/>
  </si>
  <si>
    <t>Byte Address
(hex)</t>
    <phoneticPr fontId="1"/>
  </si>
  <si>
    <t>Init
(dec)</t>
    <phoneticPr fontId="1"/>
  </si>
  <si>
    <t>Init
(hex)</t>
    <phoneticPr fontId="1"/>
  </si>
  <si>
    <t>Bit
Width</t>
    <phoneticPr fontId="1"/>
  </si>
  <si>
    <t>Signal Name</t>
    <phoneticPr fontId="1"/>
  </si>
  <si>
    <t>In/Out</t>
    <phoneticPr fontId="1"/>
  </si>
  <si>
    <t>input</t>
    <phoneticPr fontId="1"/>
  </si>
  <si>
    <t>output</t>
    <phoneticPr fontId="1"/>
  </si>
  <si>
    <t>Clock for this module. APB clock.</t>
    <phoneticPr fontId="1"/>
  </si>
  <si>
    <t>Async reset for this module. APB reset.</t>
    <phoneticPr fontId="1"/>
  </si>
  <si>
    <t>async</t>
    <phoneticPr fontId="1"/>
  </si>
  <si>
    <t>2. I/F of this module.</t>
    <phoneticPr fontId="1"/>
  </si>
  <si>
    <t>3. I/F of this design vs Amba bus.</t>
    <phoneticPr fontId="1"/>
  </si>
  <si>
    <t>APB address. *1</t>
    <phoneticPr fontId="1"/>
  </si>
  <si>
    <t>APB Select. *1</t>
    <phoneticPr fontId="1"/>
  </si>
  <si>
    <t>APB Enable. *1</t>
    <phoneticPr fontId="1"/>
  </si>
  <si>
    <t>APB direction. *1</t>
    <phoneticPr fontId="1"/>
  </si>
  <si>
    <t>APB write data. *1</t>
    <phoneticPr fontId="1"/>
  </si>
  <si>
    <t>APB write strobe. *1</t>
    <phoneticPr fontId="1"/>
  </si>
  <si>
    <t>APB ready. *1</t>
    <phoneticPr fontId="1"/>
  </si>
  <si>
    <t>APB read data. *1</t>
    <phoneticPr fontId="1"/>
  </si>
  <si>
    <t>APB transfer error. *1</t>
    <phoneticPr fontId="1"/>
  </si>
  <si>
    <t>*1: Refer the section 3 and APB specification.</t>
    <phoneticPr fontId="1"/>
  </si>
  <si>
    <t>always</t>
    <phoneticPr fontId="1"/>
  </si>
  <si>
    <t>Implementation</t>
    <phoneticPr fontId="1"/>
  </si>
  <si>
    <t>Clock domain</t>
    <phoneticPr fontId="1"/>
  </si>
  <si>
    <t>&lt;reg/bit name&gt;_o</t>
    <phoneticPr fontId="1"/>
  </si>
  <si>
    <t>&lt;reg/bit name&gt;_i</t>
    <phoneticPr fontId="1"/>
  </si>
  <si>
    <t>only for N type register bit.</t>
    <phoneticPr fontId="1"/>
  </si>
  <si>
    <t>only for RW type register bit.</t>
    <phoneticPr fontId="1"/>
  </si>
  <si>
    <t>only for RO type register bit.</t>
    <phoneticPr fontId="1"/>
  </si>
  <si>
    <t>&lt;reg/bit name&gt;_wen_o</t>
    <phoneticPr fontId="1"/>
  </si>
  <si>
    <t>&lt;reg/bit name&gt;_ren_o</t>
    <phoneticPr fontId="1"/>
  </si>
  <si>
    <t>Read data of register.</t>
    <phoneticPr fontId="1"/>
  </si>
  <si>
    <t>Write enable of register.</t>
    <phoneticPr fontId="1"/>
  </si>
  <si>
    <t>Write data of register.</t>
    <phoneticPr fontId="1"/>
  </si>
  <si>
    <t>Read enable of register.</t>
    <phoneticPr fontId="1"/>
  </si>
  <si>
    <t>Value of register.</t>
    <phoneticPr fontId="1"/>
  </si>
  <si>
    <t>1. Overview</t>
    <phoneticPr fontId="1"/>
  </si>
  <si>
    <t>About Design</t>
    <phoneticPr fontId="1"/>
  </si>
  <si>
    <t>This design supports from Amba3 to amba5 APB I/F.</t>
    <phoneticPr fontId="1"/>
  </si>
  <si>
    <t>*0:1byte,1:2byte,2:4byte</t>
    <phoneticPr fontId="1"/>
  </si>
  <si>
    <t>4. Design type</t>
    <phoneticPr fontId="1"/>
  </si>
  <si>
    <t>RW Type</t>
    <phoneticPr fontId="1"/>
  </si>
  <si>
    <t>The following type of register can be selected.</t>
    <phoneticPr fontId="1"/>
  </si>
  <si>
    <t>Read only Register.</t>
    <phoneticPr fontId="1"/>
  </si>
  <si>
    <t>Read/Write Register.</t>
    <phoneticPr fontId="1"/>
  </si>
  <si>
    <t>Only Address decode.</t>
    <phoneticPr fontId="1"/>
  </si>
  <si>
    <t>Descrption</t>
    <phoneticPr fontId="1"/>
  </si>
  <si>
    <t>Write: Write to register FF, Read: Read from register FF</t>
    <phoneticPr fontId="1"/>
  </si>
  <si>
    <t>Write: - , Read: depend on H/W implementation</t>
    <phoneticPr fontId="1"/>
  </si>
  <si>
    <t>Write/Read: depend on H/W implementation</t>
    <phoneticPr fontId="1"/>
  </si>
  <si>
    <t>R/W Behavior</t>
    <phoneticPr fontId="1"/>
  </si>
  <si>
    <t>RO Type</t>
    <phoneticPr fontId="1"/>
  </si>
  <si>
    <t>Address</t>
    <phoneticPr fontId="1"/>
  </si>
  <si>
    <t>Write Data</t>
    <phoneticPr fontId="1"/>
  </si>
  <si>
    <t>Previous Data</t>
    <phoneticPr fontId="1"/>
  </si>
  <si>
    <t>Write behavior</t>
    <phoneticPr fontId="1"/>
  </si>
  <si>
    <t>Read Behavior</t>
    <phoneticPr fontId="1"/>
  </si>
  <si>
    <t>prdata_i</t>
    <phoneticPr fontId="1"/>
  </si>
  <si>
    <t>Read Data</t>
    <phoneticPr fontId="1"/>
  </si>
  <si>
    <t>Write Strobe</t>
    <phoneticPr fontId="1"/>
  </si>
  <si>
    <t>pready_i</t>
    <phoneticPr fontId="1"/>
  </si>
  <si>
    <t>N Type</t>
    <phoneticPr fontId="1"/>
  </si>
  <si>
    <t>WO</t>
  </si>
  <si>
    <t>WO</t>
    <phoneticPr fontId="1"/>
  </si>
  <si>
    <t>only for WO type register bit.</t>
    <phoneticPr fontId="1"/>
  </si>
  <si>
    <t>WO Type</t>
    <phoneticPr fontId="1"/>
  </si>
  <si>
    <t>Write Behavior</t>
    <phoneticPr fontId="1"/>
  </si>
  <si>
    <t>No Effect</t>
    <phoneticPr fontId="1"/>
  </si>
  <si>
    <t>Write only Register.</t>
    <phoneticPr fontId="1"/>
  </si>
  <si>
    <t>Write: depend on H/W implementation, Read: read only zero.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</si>
</sst>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0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2"/>
      <color rgb="FF000000"/>
      <name val="Yu Gothic"/>
      <family val="3"/>
      <charset val="128"/>
    </font>
    <font>
      <b/>
      <sz val="12"/>
      <color theme="1"/>
      <name val="游ゴシック"/>
      <family val="3"/>
      <charset val="128"/>
      <scheme val="minor"/>
    </font>
    <font>
      <b/>
      <sz val="24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20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2" fillId="2" borderId="2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1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quotePrefix="1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5" borderId="0" xfId="0" applyFill="1">
      <alignment vertical="center"/>
    </xf>
    <xf numFmtId="0" fontId="0" fillId="5" borderId="10" xfId="0" applyFill="1" applyBorder="1">
      <alignment vertical="center"/>
    </xf>
    <xf numFmtId="0" fontId="0" fillId="0" borderId="13" xfId="0" applyBorder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</xdr:row>
          <xdr:rowOff>38100</xdr:rowOff>
        </xdr:from>
        <xdr:to>
          <xdr:col>8</xdr:col>
          <xdr:colOff>533400</xdr:colOff>
          <xdr:row>2</xdr:row>
          <xdr:rowOff>165100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Generate RTL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132521</xdr:colOff>
      <xdr:row>60</xdr:row>
      <xdr:rowOff>55217</xdr:rowOff>
    </xdr:from>
    <xdr:to>
      <xdr:col>5</xdr:col>
      <xdr:colOff>487590</xdr:colOff>
      <xdr:row>80</xdr:row>
      <xdr:rowOff>212586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559128" y="18833074"/>
          <a:ext cx="5877301" cy="514665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1016000</xdr:colOff>
      <xdr:row>76</xdr:row>
      <xdr:rowOff>50800</xdr:rowOff>
    </xdr:from>
    <xdr:to>
      <xdr:col>3</xdr:col>
      <xdr:colOff>1663700</xdr:colOff>
      <xdr:row>78</xdr:row>
      <xdr:rowOff>190500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399280" y="23174960"/>
          <a:ext cx="647700" cy="6477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2907748</xdr:colOff>
      <xdr:row>63</xdr:row>
      <xdr:rowOff>37547</xdr:rowOff>
    </xdr:from>
    <xdr:to>
      <xdr:col>3</xdr:col>
      <xdr:colOff>3555448</xdr:colOff>
      <xdr:row>65</xdr:row>
      <xdr:rowOff>154608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287052" y="19330504"/>
          <a:ext cx="647700" cy="62506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1663700</xdr:colOff>
      <xdr:row>77</xdr:row>
      <xdr:rowOff>120650</xdr:rowOff>
    </xdr:from>
    <xdr:to>
      <xdr:col>3</xdr:col>
      <xdr:colOff>2072640</xdr:colOff>
      <xdr:row>77</xdr:row>
      <xdr:rowOff>120650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>
          <a:cxnSpLocks/>
          <a:endCxn id="41" idx="3"/>
        </xdr:cNvCxnSpPr>
      </xdr:nvCxnSpPr>
      <xdr:spPr>
        <a:xfrm flipH="1">
          <a:off x="5046980" y="23498810"/>
          <a:ext cx="40894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1866348</xdr:colOff>
      <xdr:row>77</xdr:row>
      <xdr:rowOff>120650</xdr:rowOff>
    </xdr:from>
    <xdr:to>
      <xdr:col>3</xdr:col>
      <xdr:colOff>1016000</xdr:colOff>
      <xdr:row>77</xdr:row>
      <xdr:rowOff>120650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>
          <a:stCxn id="41" idx="1"/>
        </xdr:cNvCxnSpPr>
      </xdr:nvCxnSpPr>
      <xdr:spPr>
        <a:xfrm flipH="1">
          <a:off x="2120348" y="23498810"/>
          <a:ext cx="2278932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3332480</xdr:colOff>
      <xdr:row>74</xdr:row>
      <xdr:rowOff>232520</xdr:rowOff>
    </xdr:from>
    <xdr:to>
      <xdr:col>4</xdr:col>
      <xdr:colOff>331305</xdr:colOff>
      <xdr:row>74</xdr:row>
      <xdr:rowOff>232520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6715760" y="22848680"/>
          <a:ext cx="61578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331304</xdr:colOff>
      <xdr:row>64</xdr:row>
      <xdr:rowOff>77304</xdr:rowOff>
    </xdr:from>
    <xdr:to>
      <xdr:col>4</xdr:col>
      <xdr:colOff>331304</xdr:colOff>
      <xdr:row>74</xdr:row>
      <xdr:rowOff>223520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7331544" y="20153464"/>
          <a:ext cx="0" cy="2686216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3338057</xdr:colOff>
      <xdr:row>75</xdr:row>
      <xdr:rowOff>214408</xdr:rowOff>
    </xdr:from>
    <xdr:to>
      <xdr:col>4</xdr:col>
      <xdr:colOff>170090</xdr:colOff>
      <xdr:row>75</xdr:row>
      <xdr:rowOff>214408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6717164" y="22734229"/>
          <a:ext cx="449265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1800087</xdr:colOff>
      <xdr:row>63</xdr:row>
      <xdr:rowOff>162338</xdr:rowOff>
    </xdr:from>
    <xdr:to>
      <xdr:col>3</xdr:col>
      <xdr:colOff>2308087</xdr:colOff>
      <xdr:row>63</xdr:row>
      <xdr:rowOff>162338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5179391" y="19963295"/>
          <a:ext cx="5080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3345125</xdr:colOff>
      <xdr:row>76</xdr:row>
      <xdr:rowOff>196297</xdr:rowOff>
    </xdr:from>
    <xdr:to>
      <xdr:col>4</xdr:col>
      <xdr:colOff>181429</xdr:colOff>
      <xdr:row>76</xdr:row>
      <xdr:rowOff>196297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>
          <a:off x="6724232" y="22965583"/>
          <a:ext cx="453536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2683566</xdr:colOff>
      <xdr:row>64</xdr:row>
      <xdr:rowOff>77029</xdr:rowOff>
    </xdr:from>
    <xdr:to>
      <xdr:col>3</xdr:col>
      <xdr:colOff>2902226</xdr:colOff>
      <xdr:row>64</xdr:row>
      <xdr:rowOff>77029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6062870" y="19623986"/>
          <a:ext cx="21866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2969377</xdr:colOff>
      <xdr:row>74</xdr:row>
      <xdr:rowOff>60960</xdr:rowOff>
    </xdr:from>
    <xdr:to>
      <xdr:col>3</xdr:col>
      <xdr:colOff>3344856</xdr:colOff>
      <xdr:row>77</xdr:row>
      <xdr:rowOff>162560</xdr:rowOff>
    </xdr:to>
    <xdr:sp macro="" textlink="">
      <xdr:nvSpPr>
        <xdr:cNvPr id="78" name="台形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 rot="16200000">
          <a:off x="6108597" y="22921180"/>
          <a:ext cx="863600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2316923</xdr:colOff>
      <xdr:row>62</xdr:row>
      <xdr:rowOff>174486</xdr:rowOff>
    </xdr:from>
    <xdr:to>
      <xdr:col>3</xdr:col>
      <xdr:colOff>2692402</xdr:colOff>
      <xdr:row>65</xdr:row>
      <xdr:rowOff>242957</xdr:rowOff>
    </xdr:to>
    <xdr:sp macro="" textlink="">
      <xdr:nvSpPr>
        <xdr:cNvPr id="82" name="台形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 rot="5400000">
          <a:off x="5468731" y="19440939"/>
          <a:ext cx="830471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1855304</xdr:colOff>
      <xdr:row>64</xdr:row>
      <xdr:rowOff>71782</xdr:rowOff>
    </xdr:from>
    <xdr:to>
      <xdr:col>3</xdr:col>
      <xdr:colOff>2305878</xdr:colOff>
      <xdr:row>64</xdr:row>
      <xdr:rowOff>71782</xdr:rowOff>
    </xdr:to>
    <xdr:cxnSp macro="">
      <xdr:nvCxnSpPr>
        <xdr:cNvPr id="84" name="直線コネクタ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CxnSpPr/>
      </xdr:nvCxnSpPr>
      <xdr:spPr>
        <a:xfrm>
          <a:off x="2109304" y="17122912"/>
          <a:ext cx="357587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1819966</xdr:colOff>
      <xdr:row>61</xdr:row>
      <xdr:rowOff>218661</xdr:rowOff>
    </xdr:from>
    <xdr:to>
      <xdr:col>3</xdr:col>
      <xdr:colOff>1819966</xdr:colOff>
      <xdr:row>63</xdr:row>
      <xdr:rowOff>154608</xdr:rowOff>
    </xdr:to>
    <xdr:cxnSp macro="">
      <xdr:nvCxnSpPr>
        <xdr:cNvPr id="86" name="直線コネクタ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/>
      </xdr:nvCxnSpPr>
      <xdr:spPr>
        <a:xfrm flipV="1">
          <a:off x="5199270" y="19511618"/>
          <a:ext cx="0" cy="44394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331305</xdr:colOff>
      <xdr:row>61</xdr:row>
      <xdr:rowOff>209826</xdr:rowOff>
    </xdr:from>
    <xdr:to>
      <xdr:col>4</xdr:col>
      <xdr:colOff>340132</xdr:colOff>
      <xdr:row>64</xdr:row>
      <xdr:rowOff>63776</xdr:rowOff>
    </xdr:to>
    <xdr:cxnSp macro="">
      <xdr:nvCxnSpPr>
        <xdr:cNvPr id="88" name="直線コネクタ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 flipV="1">
          <a:off x="7332870" y="19502783"/>
          <a:ext cx="8827" cy="615950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1811131</xdr:colOff>
      <xdr:row>61</xdr:row>
      <xdr:rowOff>209550</xdr:rowOff>
    </xdr:from>
    <xdr:to>
      <xdr:col>4</xdr:col>
      <xdr:colOff>342348</xdr:colOff>
      <xdr:row>61</xdr:row>
      <xdr:rowOff>209550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CxnSpPr/>
      </xdr:nvCxnSpPr>
      <xdr:spPr>
        <a:xfrm flipH="1">
          <a:off x="5190435" y="19502507"/>
          <a:ext cx="2153478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2293517</xdr:colOff>
      <xdr:row>71</xdr:row>
      <xdr:rowOff>223520</xdr:rowOff>
    </xdr:from>
    <xdr:to>
      <xdr:col>3</xdr:col>
      <xdr:colOff>2293517</xdr:colOff>
      <xdr:row>75</xdr:row>
      <xdr:rowOff>16011</xdr:rowOff>
    </xdr:to>
    <xdr:cxnSp macro="">
      <xdr:nvCxnSpPr>
        <xdr:cNvPr id="115" name="直線コネクタ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CxnSpPr/>
      </xdr:nvCxnSpPr>
      <xdr:spPr>
        <a:xfrm>
          <a:off x="5676797" y="22077680"/>
          <a:ext cx="0" cy="808491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2504662</xdr:colOff>
      <xdr:row>65</xdr:row>
      <xdr:rowOff>196022</xdr:rowOff>
    </xdr:from>
    <xdr:to>
      <xdr:col>3</xdr:col>
      <xdr:colOff>2504662</xdr:colOff>
      <xdr:row>67</xdr:row>
      <xdr:rowOff>231913</xdr:rowOff>
    </xdr:to>
    <xdr:cxnSp macro="">
      <xdr:nvCxnSpPr>
        <xdr:cNvPr id="120" name="直線コネクタ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CxnSpPr>
          <a:endCxn id="82" idx="3"/>
        </xdr:cNvCxnSpPr>
      </xdr:nvCxnSpPr>
      <xdr:spPr>
        <a:xfrm flipV="1">
          <a:off x="5883966" y="20504979"/>
          <a:ext cx="0" cy="543891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331305</xdr:colOff>
      <xdr:row>72</xdr:row>
      <xdr:rowOff>88345</xdr:rowOff>
    </xdr:from>
    <xdr:to>
      <xdr:col>3</xdr:col>
      <xdr:colOff>662609</xdr:colOff>
      <xdr:row>74</xdr:row>
      <xdr:rowOff>165649</xdr:rowOff>
    </xdr:to>
    <xdr:sp macro="" textlink="">
      <xdr:nvSpPr>
        <xdr:cNvPr id="124" name="雲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2757005" y="22186345"/>
          <a:ext cx="1283804" cy="585304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1844261</xdr:colOff>
      <xdr:row>73</xdr:row>
      <xdr:rowOff>135832</xdr:rowOff>
    </xdr:from>
    <xdr:to>
      <xdr:col>2</xdr:col>
      <xdr:colOff>353392</xdr:colOff>
      <xdr:row>73</xdr:row>
      <xdr:rowOff>135832</xdr:rowOff>
    </xdr:to>
    <xdr:cxnSp macro="">
      <xdr:nvCxnSpPr>
        <xdr:cNvPr id="125" name="直線コネクタ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CxnSpPr/>
      </xdr:nvCxnSpPr>
      <xdr:spPr>
        <a:xfrm>
          <a:off x="2098261" y="22476789"/>
          <a:ext cx="68469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519043</xdr:colOff>
      <xdr:row>63</xdr:row>
      <xdr:rowOff>11042</xdr:rowOff>
    </xdr:from>
    <xdr:to>
      <xdr:col>1</xdr:col>
      <xdr:colOff>1866347</xdr:colOff>
      <xdr:row>64</xdr:row>
      <xdr:rowOff>176696</xdr:rowOff>
    </xdr:to>
    <xdr:sp macro="" textlink="">
      <xdr:nvSpPr>
        <xdr:cNvPr id="130" name="正方形/長方形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>
        <a:xfrm>
          <a:off x="773043" y="16797129"/>
          <a:ext cx="1347304" cy="43069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pwdata_i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527877</xdr:colOff>
      <xdr:row>72</xdr:row>
      <xdr:rowOff>174482</xdr:rowOff>
    </xdr:from>
    <xdr:to>
      <xdr:col>1</xdr:col>
      <xdr:colOff>1875181</xdr:colOff>
      <xdr:row>74</xdr:row>
      <xdr:rowOff>86135</xdr:rowOff>
    </xdr:to>
    <xdr:sp macro="" textlink="">
      <xdr:nvSpPr>
        <xdr:cNvPr id="131" name="正方形/長方形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>
        <a:xfrm>
          <a:off x="781877" y="22261439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536712</xdr:colOff>
      <xdr:row>76</xdr:row>
      <xdr:rowOff>172274</xdr:rowOff>
    </xdr:from>
    <xdr:to>
      <xdr:col>1</xdr:col>
      <xdr:colOff>1884016</xdr:colOff>
      <xdr:row>78</xdr:row>
      <xdr:rowOff>83927</xdr:rowOff>
    </xdr:to>
    <xdr:sp macro="" textlink="">
      <xdr:nvSpPr>
        <xdr:cNvPr id="132" name="正方形/長方形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790712" y="23296434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prdata_o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492538</xdr:colOff>
      <xdr:row>66</xdr:row>
      <xdr:rowOff>20702</xdr:rowOff>
    </xdr:from>
    <xdr:to>
      <xdr:col>1</xdr:col>
      <xdr:colOff>1839842</xdr:colOff>
      <xdr:row>67</xdr:row>
      <xdr:rowOff>197398</xdr:rowOff>
    </xdr:to>
    <xdr:sp macro="" textlink="">
      <xdr:nvSpPr>
        <xdr:cNvPr id="133" name="正方形/長方形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746538" y="17601919"/>
          <a:ext cx="1347304" cy="441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501372</xdr:colOff>
      <xdr:row>68</xdr:row>
      <xdr:rowOff>19873</xdr:rowOff>
    </xdr:from>
    <xdr:to>
      <xdr:col>1</xdr:col>
      <xdr:colOff>1848676</xdr:colOff>
      <xdr:row>69</xdr:row>
      <xdr:rowOff>185526</xdr:rowOff>
    </xdr:to>
    <xdr:sp macro="" textlink="">
      <xdr:nvSpPr>
        <xdr:cNvPr id="134" name="正方形/長方形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755372" y="21101873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532293</xdr:colOff>
      <xdr:row>70</xdr:row>
      <xdr:rowOff>112638</xdr:rowOff>
    </xdr:from>
    <xdr:to>
      <xdr:col>1</xdr:col>
      <xdr:colOff>1879597</xdr:colOff>
      <xdr:row>72</xdr:row>
      <xdr:rowOff>24291</xdr:rowOff>
    </xdr:to>
    <xdr:sp macro="" textlink="">
      <xdr:nvSpPr>
        <xdr:cNvPr id="135" name="正方形/長方形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786293" y="21691595"/>
          <a:ext cx="1347304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1811131</xdr:colOff>
      <xdr:row>65</xdr:row>
      <xdr:rowOff>33130</xdr:rowOff>
    </xdr:from>
    <xdr:to>
      <xdr:col>3</xdr:col>
      <xdr:colOff>2230783</xdr:colOff>
      <xdr:row>69</xdr:row>
      <xdr:rowOff>167860</xdr:rowOff>
    </xdr:to>
    <xdr:sp macro="" textlink="">
      <xdr:nvSpPr>
        <xdr:cNvPr id="138" name="フローチャート: 論理積ゲート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5190435" y="17349304"/>
          <a:ext cx="419652" cy="1194904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2230783</xdr:colOff>
      <xdr:row>67</xdr:row>
      <xdr:rowOff>220593</xdr:rowOff>
    </xdr:from>
    <xdr:to>
      <xdr:col>3</xdr:col>
      <xdr:colOff>2515705</xdr:colOff>
      <xdr:row>67</xdr:row>
      <xdr:rowOff>220593</xdr:rowOff>
    </xdr:to>
    <xdr:cxnSp macro="">
      <xdr:nvCxnSpPr>
        <xdr:cNvPr id="139" name="直線コネクタ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CxnSpPr/>
      </xdr:nvCxnSpPr>
      <xdr:spPr>
        <a:xfrm flipH="1">
          <a:off x="5610087" y="21037550"/>
          <a:ext cx="284922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2206487</xdr:colOff>
      <xdr:row>71</xdr:row>
      <xdr:rowOff>207340</xdr:rowOff>
    </xdr:from>
    <xdr:to>
      <xdr:col>3</xdr:col>
      <xdr:colOff>2306320</xdr:colOff>
      <xdr:row>71</xdr:row>
      <xdr:rowOff>207340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/>
      </xdr:nvCxnSpPr>
      <xdr:spPr>
        <a:xfrm flipH="1">
          <a:off x="5589767" y="22061500"/>
          <a:ext cx="99833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1797878</xdr:colOff>
      <xdr:row>70</xdr:row>
      <xdr:rowOff>86143</xdr:rowOff>
    </xdr:from>
    <xdr:to>
      <xdr:col>3</xdr:col>
      <xdr:colOff>2217530</xdr:colOff>
      <xdr:row>73</xdr:row>
      <xdr:rowOff>50801</xdr:rowOff>
    </xdr:to>
    <xdr:sp macro="" textlink="">
      <xdr:nvSpPr>
        <xdr:cNvPr id="143" name="フローチャート: 論理積ゲート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5181158" y="21686303"/>
          <a:ext cx="419652" cy="726658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1881533</xdr:colOff>
      <xdr:row>66</xdr:row>
      <xdr:rowOff>155711</xdr:rowOff>
    </xdr:from>
    <xdr:to>
      <xdr:col>3</xdr:col>
      <xdr:colOff>1795394</xdr:colOff>
      <xdr:row>66</xdr:row>
      <xdr:rowOff>155711</xdr:rowOff>
    </xdr:to>
    <xdr:cxnSp macro="">
      <xdr:nvCxnSpPr>
        <xdr:cNvPr id="145" name="直線コネクタ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/>
      </xdr:nvCxnSpPr>
      <xdr:spPr>
        <a:xfrm>
          <a:off x="2135533" y="20729711"/>
          <a:ext cx="3038061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1329266</xdr:colOff>
      <xdr:row>70</xdr:row>
      <xdr:rowOff>199974</xdr:rowOff>
    </xdr:from>
    <xdr:to>
      <xdr:col>3</xdr:col>
      <xdr:colOff>1797050</xdr:colOff>
      <xdr:row>70</xdr:row>
      <xdr:rowOff>199974</xdr:rowOff>
    </xdr:to>
    <xdr:cxnSp macro="">
      <xdr:nvCxnSpPr>
        <xdr:cNvPr id="148" name="直線コネクタ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CxnSpPr>
          <a:cxnSpLocks/>
        </xdr:cNvCxnSpPr>
      </xdr:nvCxnSpPr>
      <xdr:spPr>
        <a:xfrm>
          <a:off x="4707466" y="21789974"/>
          <a:ext cx="46778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1340163</xdr:colOff>
      <xdr:row>66</xdr:row>
      <xdr:rowOff>166186</xdr:rowOff>
    </xdr:from>
    <xdr:to>
      <xdr:col>3</xdr:col>
      <xdr:colOff>1340163</xdr:colOff>
      <xdr:row>70</xdr:row>
      <xdr:rowOff>215053</xdr:rowOff>
    </xdr:to>
    <xdr:cxnSp macro="">
      <xdr:nvCxnSpPr>
        <xdr:cNvPr id="153" name="直線コネクタ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/>
      </xdr:nvCxnSpPr>
      <xdr:spPr>
        <a:xfrm>
          <a:off x="4726830" y="20757119"/>
          <a:ext cx="0" cy="1064867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1860928</xdr:colOff>
      <xdr:row>71</xdr:row>
      <xdr:rowOff>196384</xdr:rowOff>
    </xdr:from>
    <xdr:to>
      <xdr:col>3</xdr:col>
      <xdr:colOff>1569110</xdr:colOff>
      <xdr:row>71</xdr:row>
      <xdr:rowOff>196384</xdr:rowOff>
    </xdr:to>
    <xdr:cxnSp macro="">
      <xdr:nvCxnSpPr>
        <xdr:cNvPr id="160" name="直線コネクタ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CxnSpPr/>
      </xdr:nvCxnSpPr>
      <xdr:spPr>
        <a:xfrm>
          <a:off x="2115909" y="22110013"/>
          <a:ext cx="283169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1571054</xdr:colOff>
      <xdr:row>71</xdr:row>
      <xdr:rowOff>75899</xdr:rowOff>
    </xdr:from>
    <xdr:to>
      <xdr:col>3</xdr:col>
      <xdr:colOff>1791923</xdr:colOff>
      <xdr:row>72</xdr:row>
      <xdr:rowOff>42767</xdr:rowOff>
    </xdr:to>
    <xdr:sp macro="" textlink="">
      <xdr:nvSpPr>
        <xdr:cNvPr id="162" name="円/楕円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4949548" y="21989528"/>
          <a:ext cx="220869" cy="221849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1145403</xdr:colOff>
      <xdr:row>67</xdr:row>
      <xdr:rowOff>133031</xdr:rowOff>
    </xdr:from>
    <xdr:to>
      <xdr:col>3</xdr:col>
      <xdr:colOff>1802861</xdr:colOff>
      <xdr:row>67</xdr:row>
      <xdr:rowOff>133031</xdr:rowOff>
    </xdr:to>
    <xdr:cxnSp macro="">
      <xdr:nvCxnSpPr>
        <xdr:cNvPr id="164" name="直線コネクタ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CxnSpPr/>
      </xdr:nvCxnSpPr>
      <xdr:spPr>
        <a:xfrm>
          <a:off x="4523603" y="20961031"/>
          <a:ext cx="65745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1162004</xdr:colOff>
      <xdr:row>67</xdr:row>
      <xdr:rowOff>127490</xdr:rowOff>
    </xdr:from>
    <xdr:to>
      <xdr:col>3</xdr:col>
      <xdr:colOff>1162004</xdr:colOff>
      <xdr:row>71</xdr:row>
      <xdr:rowOff>196140</xdr:rowOff>
    </xdr:to>
    <xdr:cxnSp macro="">
      <xdr:nvCxnSpPr>
        <xdr:cNvPr id="166" name="直線コネクタ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CxnSpPr/>
      </xdr:nvCxnSpPr>
      <xdr:spPr>
        <a:xfrm flipV="1">
          <a:off x="4540498" y="21021197"/>
          <a:ext cx="0" cy="1088572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1571348</xdr:colOff>
      <xdr:row>72</xdr:row>
      <xdr:rowOff>62978</xdr:rowOff>
    </xdr:from>
    <xdr:to>
      <xdr:col>3</xdr:col>
      <xdr:colOff>1792217</xdr:colOff>
      <xdr:row>73</xdr:row>
      <xdr:rowOff>29846</xdr:rowOff>
    </xdr:to>
    <xdr:sp macro="" textlink="">
      <xdr:nvSpPr>
        <xdr:cNvPr id="170" name="円/楕円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4949548" y="22160978"/>
          <a:ext cx="220869" cy="220868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1885950</xdr:colOff>
      <xdr:row>68</xdr:row>
      <xdr:rowOff>113981</xdr:rowOff>
    </xdr:from>
    <xdr:to>
      <xdr:col>3</xdr:col>
      <xdr:colOff>1796511</xdr:colOff>
      <xdr:row>68</xdr:row>
      <xdr:rowOff>113981</xdr:rowOff>
    </xdr:to>
    <xdr:cxnSp macro="">
      <xdr:nvCxnSpPr>
        <xdr:cNvPr id="172" name="直線コネクタ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/>
      </xdr:nvCxnSpPr>
      <xdr:spPr>
        <a:xfrm>
          <a:off x="2139950" y="21195981"/>
          <a:ext cx="3034761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967630</xdr:colOff>
      <xdr:row>68</xdr:row>
      <xdr:rowOff>113269</xdr:rowOff>
    </xdr:from>
    <xdr:to>
      <xdr:col>3</xdr:col>
      <xdr:colOff>967630</xdr:colOff>
      <xdr:row>72</xdr:row>
      <xdr:rowOff>162136</xdr:rowOff>
    </xdr:to>
    <xdr:cxnSp macro="">
      <xdr:nvCxnSpPr>
        <xdr:cNvPr id="174" name="直線コネクタ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/>
      </xdr:nvCxnSpPr>
      <xdr:spPr>
        <a:xfrm>
          <a:off x="4345830" y="21195269"/>
          <a:ext cx="0" cy="1064867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960966</xdr:colOff>
      <xdr:row>72</xdr:row>
      <xdr:rowOff>174574</xdr:rowOff>
    </xdr:from>
    <xdr:to>
      <xdr:col>3</xdr:col>
      <xdr:colOff>1562100</xdr:colOff>
      <xdr:row>72</xdr:row>
      <xdr:rowOff>174574</xdr:rowOff>
    </xdr:to>
    <xdr:cxnSp macro="">
      <xdr:nvCxnSpPr>
        <xdr:cNvPr id="175" name="直線コネクタ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CxnSpPr>
          <a:cxnSpLocks/>
        </xdr:cNvCxnSpPr>
      </xdr:nvCxnSpPr>
      <xdr:spPr>
        <a:xfrm>
          <a:off x="4339166" y="22272574"/>
          <a:ext cx="60113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787400</xdr:colOff>
      <xdr:row>69</xdr:row>
      <xdr:rowOff>66624</xdr:rowOff>
    </xdr:from>
    <xdr:to>
      <xdr:col>3</xdr:col>
      <xdr:colOff>1797050</xdr:colOff>
      <xdr:row>69</xdr:row>
      <xdr:rowOff>66624</xdr:rowOff>
    </xdr:to>
    <xdr:cxnSp macro="">
      <xdr:nvCxnSpPr>
        <xdr:cNvPr id="179" name="直線コネクタ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CxnSpPr>
          <a:cxnSpLocks/>
        </xdr:cNvCxnSpPr>
      </xdr:nvCxnSpPr>
      <xdr:spPr>
        <a:xfrm>
          <a:off x="4165600" y="21402624"/>
          <a:ext cx="100965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787648</xdr:colOff>
      <xdr:row>69</xdr:row>
      <xdr:rowOff>40797</xdr:rowOff>
    </xdr:from>
    <xdr:to>
      <xdr:col>3</xdr:col>
      <xdr:colOff>787648</xdr:colOff>
      <xdr:row>73</xdr:row>
      <xdr:rowOff>109447</xdr:rowOff>
    </xdr:to>
    <xdr:cxnSp macro="">
      <xdr:nvCxnSpPr>
        <xdr:cNvPr id="181" name="直線コネクタ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CxnSpPr/>
      </xdr:nvCxnSpPr>
      <xdr:spPr>
        <a:xfrm flipV="1">
          <a:off x="4165848" y="21376797"/>
          <a:ext cx="0" cy="1084650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2075297</xdr:colOff>
      <xdr:row>74</xdr:row>
      <xdr:rowOff>243396</xdr:rowOff>
    </xdr:from>
    <xdr:to>
      <xdr:col>3</xdr:col>
      <xdr:colOff>2450776</xdr:colOff>
      <xdr:row>79</xdr:row>
      <xdr:rowOff>182880</xdr:rowOff>
    </xdr:to>
    <xdr:sp macro="" textlink="">
      <xdr:nvSpPr>
        <xdr:cNvPr id="187" name="台形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>
        <a:xfrm rot="16200000">
          <a:off x="5041575" y="23276558"/>
          <a:ext cx="1209484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2435860</xdr:colOff>
      <xdr:row>76</xdr:row>
      <xdr:rowOff>120650</xdr:rowOff>
    </xdr:from>
    <xdr:to>
      <xdr:col>3</xdr:col>
      <xdr:colOff>2956560</xdr:colOff>
      <xdr:row>76</xdr:row>
      <xdr:rowOff>120650</xdr:rowOff>
    </xdr:to>
    <xdr:cxnSp macro="">
      <xdr:nvCxnSpPr>
        <xdr:cNvPr id="189" name="直線コネクタ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CxnSpPr>
          <a:cxnSpLocks/>
        </xdr:cNvCxnSpPr>
      </xdr:nvCxnSpPr>
      <xdr:spPr>
        <a:xfrm flipH="1">
          <a:off x="5819140" y="23244810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2446020</xdr:colOff>
      <xdr:row>78</xdr:row>
      <xdr:rowOff>130810</xdr:rowOff>
    </xdr:from>
    <xdr:to>
      <xdr:col>3</xdr:col>
      <xdr:colOff>2966720</xdr:colOff>
      <xdr:row>78</xdr:row>
      <xdr:rowOff>130810</xdr:rowOff>
    </xdr:to>
    <xdr:cxnSp macro="">
      <xdr:nvCxnSpPr>
        <xdr:cNvPr id="191" name="直線コネクタ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cxnSpLocks/>
        </xdr:cNvCxnSpPr>
      </xdr:nvCxnSpPr>
      <xdr:spPr>
        <a:xfrm flipH="1">
          <a:off x="5829300" y="23762970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2966277</xdr:colOff>
      <xdr:row>77</xdr:row>
      <xdr:rowOff>193919</xdr:rowOff>
    </xdr:from>
    <xdr:to>
      <xdr:col>3</xdr:col>
      <xdr:colOff>3434080</xdr:colOff>
      <xdr:row>79</xdr:row>
      <xdr:rowOff>105572</xdr:rowOff>
    </xdr:to>
    <xdr:sp macro="" textlink="">
      <xdr:nvSpPr>
        <xdr:cNvPr id="192" name="正方形/長方形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>
        <a:xfrm>
          <a:off x="6349557" y="23572079"/>
          <a:ext cx="467803" cy="41965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0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3157117</xdr:colOff>
      <xdr:row>73</xdr:row>
      <xdr:rowOff>121920</xdr:rowOff>
    </xdr:from>
    <xdr:to>
      <xdr:col>3</xdr:col>
      <xdr:colOff>3157117</xdr:colOff>
      <xdr:row>74</xdr:row>
      <xdr:rowOff>127771</xdr:rowOff>
    </xdr:to>
    <xdr:cxnSp macro="">
      <xdr:nvCxnSpPr>
        <xdr:cNvPr id="200" name="直線コネクタ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CxnSpPr/>
      </xdr:nvCxnSpPr>
      <xdr:spPr>
        <a:xfrm>
          <a:off x="6540397" y="22484080"/>
          <a:ext cx="0" cy="259851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659075</xdr:colOff>
      <xdr:row>73</xdr:row>
      <xdr:rowOff>117227</xdr:rowOff>
    </xdr:from>
    <xdr:to>
      <xdr:col>3</xdr:col>
      <xdr:colOff>3159760</xdr:colOff>
      <xdr:row>73</xdr:row>
      <xdr:rowOff>117227</xdr:rowOff>
    </xdr:to>
    <xdr:cxnSp macro="">
      <xdr:nvCxnSpPr>
        <xdr:cNvPr id="202" name="直線コネクタ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CxnSpPr/>
      </xdr:nvCxnSpPr>
      <xdr:spPr>
        <a:xfrm flipH="1">
          <a:off x="4042355" y="22479387"/>
          <a:ext cx="2500685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178732</xdr:colOff>
      <xdr:row>75</xdr:row>
      <xdr:rowOff>75504</xdr:rowOff>
    </xdr:from>
    <xdr:to>
      <xdr:col>5</xdr:col>
      <xdr:colOff>167835</xdr:colOff>
      <xdr:row>77</xdr:row>
      <xdr:rowOff>123629</xdr:rowOff>
    </xdr:to>
    <xdr:sp macro="" textlink="">
      <xdr:nvSpPr>
        <xdr:cNvPr id="204" name="正方形/長方形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/>
      </xdr:nvSpPr>
      <xdr:spPr>
        <a:xfrm>
          <a:off x="7174971" y="22839973"/>
          <a:ext cx="944413" cy="553877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Others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3563510</xdr:colOff>
      <xdr:row>64</xdr:row>
      <xdr:rowOff>65986</xdr:rowOff>
    </xdr:from>
    <xdr:to>
      <xdr:col>5</xdr:col>
      <xdr:colOff>975360</xdr:colOff>
      <xdr:row>64</xdr:row>
      <xdr:rowOff>65986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6946790" y="17094146"/>
          <a:ext cx="198385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129497</xdr:colOff>
      <xdr:row>105</xdr:row>
      <xdr:rowOff>101021</xdr:rowOff>
    </xdr:from>
    <xdr:to>
      <xdr:col>5</xdr:col>
      <xdr:colOff>484566</xdr:colOff>
      <xdr:row>123</xdr:row>
      <xdr:rowOff>29539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54042" y="22354885"/>
          <a:ext cx="5882456" cy="460442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1012976</xdr:colOff>
      <xdr:row>118</xdr:row>
      <xdr:rowOff>124779</xdr:rowOff>
    </xdr:from>
    <xdr:to>
      <xdr:col>3</xdr:col>
      <xdr:colOff>1660676</xdr:colOff>
      <xdr:row>121</xdr:row>
      <xdr:rowOff>4706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390021" y="25755688"/>
          <a:ext cx="647700" cy="6592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1660676</xdr:colOff>
      <xdr:row>119</xdr:row>
      <xdr:rowOff>194629</xdr:rowOff>
    </xdr:from>
    <xdr:to>
      <xdr:col>3</xdr:col>
      <xdr:colOff>2069616</xdr:colOff>
      <xdr:row>119</xdr:row>
      <xdr:rowOff>194629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>
          <a:cxnSpLocks/>
          <a:endCxn id="8" idx="3"/>
        </xdr:cNvCxnSpPr>
      </xdr:nvCxnSpPr>
      <xdr:spPr>
        <a:xfrm flipH="1">
          <a:off x="5037721" y="26085311"/>
          <a:ext cx="40894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1863324</xdr:colOff>
      <xdr:row>119</xdr:row>
      <xdr:rowOff>194629</xdr:rowOff>
    </xdr:from>
    <xdr:to>
      <xdr:col>3</xdr:col>
      <xdr:colOff>1012976</xdr:colOff>
      <xdr:row>119</xdr:row>
      <xdr:rowOff>194629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8" idx="1"/>
        </xdr:cNvCxnSpPr>
      </xdr:nvCxnSpPr>
      <xdr:spPr>
        <a:xfrm flipH="1">
          <a:off x="2123097" y="26085311"/>
          <a:ext cx="226692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3329456</xdr:colOff>
      <xdr:row>117</xdr:row>
      <xdr:rowOff>49475</xdr:rowOff>
    </xdr:from>
    <xdr:to>
      <xdr:col>5</xdr:col>
      <xdr:colOff>997857</xdr:colOff>
      <xdr:row>117</xdr:row>
      <xdr:rowOff>49475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H="1">
          <a:off x="6706501" y="25420611"/>
          <a:ext cx="224328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3335033</xdr:colOff>
      <xdr:row>118</xdr:row>
      <xdr:rowOff>31363</xdr:rowOff>
    </xdr:from>
    <xdr:to>
      <xdr:col>4</xdr:col>
      <xdr:colOff>167066</xdr:colOff>
      <xdr:row>118</xdr:row>
      <xdr:rowOff>31363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H="1">
          <a:off x="6712078" y="25662272"/>
          <a:ext cx="454420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3342101</xdr:colOff>
      <xdr:row>119</xdr:row>
      <xdr:rowOff>10503</xdr:rowOff>
    </xdr:from>
    <xdr:to>
      <xdr:col>4</xdr:col>
      <xdr:colOff>178405</xdr:colOff>
      <xdr:row>119</xdr:row>
      <xdr:rowOff>10503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719146" y="25901185"/>
          <a:ext cx="458691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2966353</xdr:colOff>
      <xdr:row>116</xdr:row>
      <xdr:rowOff>134938</xdr:rowOff>
    </xdr:from>
    <xdr:to>
      <xdr:col>3</xdr:col>
      <xdr:colOff>3341832</xdr:colOff>
      <xdr:row>119</xdr:row>
      <xdr:rowOff>236539</xdr:rowOff>
    </xdr:to>
    <xdr:sp macro="" textlink="">
      <xdr:nvSpPr>
        <xdr:cNvPr id="18" name="台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6200000">
          <a:off x="6090678" y="25499022"/>
          <a:ext cx="880919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2290493</xdr:colOff>
      <xdr:row>111</xdr:row>
      <xdr:rowOff>47913</xdr:rowOff>
    </xdr:from>
    <xdr:to>
      <xdr:col>3</xdr:col>
      <xdr:colOff>2290493</xdr:colOff>
      <xdr:row>117</xdr:row>
      <xdr:rowOff>89990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5667538" y="23860413"/>
          <a:ext cx="0" cy="1600713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328281</xdr:colOff>
      <xdr:row>114</xdr:row>
      <xdr:rowOff>162324</xdr:rowOff>
    </xdr:from>
    <xdr:to>
      <xdr:col>3</xdr:col>
      <xdr:colOff>659585</xdr:colOff>
      <xdr:row>116</xdr:row>
      <xdr:rowOff>239627</xdr:rowOff>
    </xdr:to>
    <xdr:sp macro="" textlink="">
      <xdr:nvSpPr>
        <xdr:cNvPr id="26" name="雲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752826" y="24754142"/>
          <a:ext cx="1283804" cy="596849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1841237</xdr:colOff>
      <xdr:row>115</xdr:row>
      <xdr:rowOff>209810</xdr:rowOff>
    </xdr:from>
    <xdr:to>
      <xdr:col>2</xdr:col>
      <xdr:colOff>350368</xdr:colOff>
      <xdr:row>115</xdr:row>
      <xdr:rowOff>209810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2101010" y="25061401"/>
          <a:ext cx="67390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524853</xdr:colOff>
      <xdr:row>114</xdr:row>
      <xdr:rowOff>248461</xdr:rowOff>
    </xdr:from>
    <xdr:to>
      <xdr:col>1</xdr:col>
      <xdr:colOff>1872157</xdr:colOff>
      <xdr:row>116</xdr:row>
      <xdr:rowOff>160113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784626" y="24840279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533688</xdr:colOff>
      <xdr:row>118</xdr:row>
      <xdr:rowOff>246253</xdr:rowOff>
    </xdr:from>
    <xdr:to>
      <xdr:col>1</xdr:col>
      <xdr:colOff>1880992</xdr:colOff>
      <xdr:row>120</xdr:row>
      <xdr:rowOff>157905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793461" y="25877162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prdata_o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489514</xdr:colOff>
      <xdr:row>108</xdr:row>
      <xdr:rowOff>69571</xdr:rowOff>
    </xdr:from>
    <xdr:to>
      <xdr:col>1</xdr:col>
      <xdr:colOff>1836818</xdr:colOff>
      <xdr:row>109</xdr:row>
      <xdr:rowOff>238248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749287" y="23102753"/>
          <a:ext cx="1347304" cy="428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498348</xdr:colOff>
      <xdr:row>110</xdr:row>
      <xdr:rowOff>93851</xdr:rowOff>
    </xdr:from>
    <xdr:to>
      <xdr:col>1</xdr:col>
      <xdr:colOff>1845652</xdr:colOff>
      <xdr:row>111</xdr:row>
      <xdr:rowOff>259504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58121" y="23646578"/>
          <a:ext cx="1347304" cy="4254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529269</xdr:colOff>
      <xdr:row>112</xdr:row>
      <xdr:rowOff>186616</xdr:rowOff>
    </xdr:from>
    <xdr:to>
      <xdr:col>1</xdr:col>
      <xdr:colOff>1876573</xdr:colOff>
      <xdr:row>114</xdr:row>
      <xdr:rowOff>98270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89042" y="24258889"/>
          <a:ext cx="1347304" cy="4311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2203463</xdr:colOff>
      <xdr:row>111</xdr:row>
      <xdr:rowOff>46369</xdr:rowOff>
    </xdr:from>
    <xdr:to>
      <xdr:col>3</xdr:col>
      <xdr:colOff>2303296</xdr:colOff>
      <xdr:row>111</xdr:row>
      <xdr:rowOff>46369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5580508" y="23858869"/>
          <a:ext cx="99833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1794854</xdr:colOff>
      <xdr:row>108</xdr:row>
      <xdr:rowOff>41563</xdr:rowOff>
    </xdr:from>
    <xdr:to>
      <xdr:col>3</xdr:col>
      <xdr:colOff>2214506</xdr:colOff>
      <xdr:row>114</xdr:row>
      <xdr:rowOff>143163</xdr:rowOff>
    </xdr:to>
    <xdr:sp macro="" textlink="">
      <xdr:nvSpPr>
        <xdr:cNvPr id="37" name="フローチャート: 論理積ゲート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171899" y="23074745"/>
          <a:ext cx="419652" cy="1660236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1878509</xdr:colOff>
      <xdr:row>108</xdr:row>
      <xdr:rowOff>229690</xdr:rowOff>
    </xdr:from>
    <xdr:to>
      <xdr:col>3</xdr:col>
      <xdr:colOff>1792370</xdr:colOff>
      <xdr:row>108</xdr:row>
      <xdr:rowOff>229690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138282" y="23262872"/>
          <a:ext cx="303113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1857904</xdr:colOff>
      <xdr:row>113</xdr:row>
      <xdr:rowOff>130664</xdr:rowOff>
    </xdr:from>
    <xdr:to>
      <xdr:col>3</xdr:col>
      <xdr:colOff>1566086</xdr:colOff>
      <xdr:row>113</xdr:row>
      <xdr:rowOff>130664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117677" y="24462709"/>
          <a:ext cx="282545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1568030</xdr:colOff>
      <xdr:row>113</xdr:row>
      <xdr:rowOff>4406</xdr:rowOff>
    </xdr:from>
    <xdr:to>
      <xdr:col>3</xdr:col>
      <xdr:colOff>1788899</xdr:colOff>
      <xdr:row>113</xdr:row>
      <xdr:rowOff>231047</xdr:rowOff>
    </xdr:to>
    <xdr:sp macro="" textlink="">
      <xdr:nvSpPr>
        <xdr:cNvPr id="47" name="円/楕円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4945075" y="24336451"/>
          <a:ext cx="220869" cy="226641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1568324</xdr:colOff>
      <xdr:row>110</xdr:row>
      <xdr:rowOff>200457</xdr:rowOff>
    </xdr:from>
    <xdr:to>
      <xdr:col>3</xdr:col>
      <xdr:colOff>1789193</xdr:colOff>
      <xdr:row>111</xdr:row>
      <xdr:rowOff>167324</xdr:rowOff>
    </xdr:to>
    <xdr:sp macro="" textlink="">
      <xdr:nvSpPr>
        <xdr:cNvPr id="54" name="円/楕円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945369" y="23753184"/>
          <a:ext cx="220869" cy="22664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1882926</xdr:colOff>
      <xdr:row>111</xdr:row>
      <xdr:rowOff>60959</xdr:rowOff>
    </xdr:from>
    <xdr:to>
      <xdr:col>3</xdr:col>
      <xdr:colOff>1549400</xdr:colOff>
      <xdr:row>111</xdr:row>
      <xdr:rowOff>60959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2142699" y="23873459"/>
          <a:ext cx="278374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2072273</xdr:colOff>
      <xdr:row>117</xdr:row>
      <xdr:rowOff>60351</xdr:rowOff>
    </xdr:from>
    <xdr:to>
      <xdr:col>3</xdr:col>
      <xdr:colOff>2447752</xdr:colOff>
      <xdr:row>121</xdr:row>
      <xdr:rowOff>256858</xdr:rowOff>
    </xdr:to>
    <xdr:sp macro="" textlink="">
      <xdr:nvSpPr>
        <xdr:cNvPr id="62" name="台形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 rot="16200000">
          <a:off x="5019259" y="25861546"/>
          <a:ext cx="1235598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2432836</xdr:colOff>
      <xdr:row>118</xdr:row>
      <xdr:rowOff>194629</xdr:rowOff>
    </xdr:from>
    <xdr:to>
      <xdr:col>3</xdr:col>
      <xdr:colOff>2953536</xdr:colOff>
      <xdr:row>118</xdr:row>
      <xdr:rowOff>194629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cxnSpLocks/>
        </xdr:cNvCxnSpPr>
      </xdr:nvCxnSpPr>
      <xdr:spPr>
        <a:xfrm flipH="1">
          <a:off x="5809881" y="25825538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2442996</xdr:colOff>
      <xdr:row>120</xdr:row>
      <xdr:rowOff>204788</xdr:rowOff>
    </xdr:from>
    <xdr:to>
      <xdr:col>3</xdr:col>
      <xdr:colOff>2963696</xdr:colOff>
      <xdr:row>120</xdr:row>
      <xdr:rowOff>204788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cxnSpLocks/>
        </xdr:cNvCxnSpPr>
      </xdr:nvCxnSpPr>
      <xdr:spPr>
        <a:xfrm flipH="1">
          <a:off x="5820041" y="26355243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2963253</xdr:colOff>
      <xdr:row>120</xdr:row>
      <xdr:rowOff>8125</xdr:rowOff>
    </xdr:from>
    <xdr:to>
      <xdr:col>3</xdr:col>
      <xdr:colOff>3431056</xdr:colOff>
      <xdr:row>121</xdr:row>
      <xdr:rowOff>179550</xdr:rowOff>
    </xdr:to>
    <xdr:sp macro="" textlink="">
      <xdr:nvSpPr>
        <xdr:cNvPr id="65" name="正方形/長方形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6340298" y="26158580"/>
          <a:ext cx="467803" cy="43119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0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3154093</xdr:colOff>
      <xdr:row>115</xdr:row>
      <xdr:rowOff>195898</xdr:rowOff>
    </xdr:from>
    <xdr:to>
      <xdr:col>3</xdr:col>
      <xdr:colOff>3154093</xdr:colOff>
      <xdr:row>116</xdr:row>
      <xdr:rowOff>201749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>
          <a:off x="6531138" y="25047489"/>
          <a:ext cx="0" cy="265624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656051</xdr:colOff>
      <xdr:row>115</xdr:row>
      <xdr:rowOff>191205</xdr:rowOff>
    </xdr:from>
    <xdr:to>
      <xdr:col>3</xdr:col>
      <xdr:colOff>3156736</xdr:colOff>
      <xdr:row>115</xdr:row>
      <xdr:rowOff>191205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4033096" y="25042796"/>
          <a:ext cx="2500685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175708</xdr:colOff>
      <xdr:row>117</xdr:row>
      <xdr:rowOff>149483</xdr:rowOff>
    </xdr:from>
    <xdr:to>
      <xdr:col>5</xdr:col>
      <xdr:colOff>164811</xdr:colOff>
      <xdr:row>119</xdr:row>
      <xdr:rowOff>197608</xdr:rowOff>
    </xdr:to>
    <xdr:sp macro="" textlink="">
      <xdr:nvSpPr>
        <xdr:cNvPr id="68" name="正方形/長方形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7175140" y="25520619"/>
          <a:ext cx="941603" cy="567671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Others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130664</xdr:colOff>
      <xdr:row>126</xdr:row>
      <xdr:rowOff>101023</xdr:rowOff>
    </xdr:from>
    <xdr:to>
      <xdr:col>5</xdr:col>
      <xdr:colOff>485733</xdr:colOff>
      <xdr:row>146</xdr:row>
      <xdr:rowOff>258391</xdr:rowOff>
    </xdr:to>
    <xdr:sp macro="" textlink="">
      <xdr:nvSpPr>
        <xdr:cNvPr id="74" name="正方形/長方形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2555209" y="27550341"/>
          <a:ext cx="5882456" cy="535282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1014143</xdr:colOff>
      <xdr:row>142</xdr:row>
      <xdr:rowOff>96606</xdr:rowOff>
    </xdr:from>
    <xdr:to>
      <xdr:col>3</xdr:col>
      <xdr:colOff>1661843</xdr:colOff>
      <xdr:row>144</xdr:row>
      <xdr:rowOff>236306</xdr:rowOff>
    </xdr:to>
    <xdr:sp macro="" textlink="">
      <xdr:nvSpPr>
        <xdr:cNvPr id="75" name="正方形/長方形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4391188" y="31702288"/>
          <a:ext cx="647700" cy="6592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FF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1661843</xdr:colOff>
      <xdr:row>143</xdr:row>
      <xdr:rowOff>166455</xdr:rowOff>
    </xdr:from>
    <xdr:to>
      <xdr:col>3</xdr:col>
      <xdr:colOff>2070783</xdr:colOff>
      <xdr:row>143</xdr:row>
      <xdr:rowOff>166455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CxnSpPr>
          <a:cxnSpLocks/>
          <a:endCxn id="75" idx="3"/>
        </xdr:cNvCxnSpPr>
      </xdr:nvCxnSpPr>
      <xdr:spPr>
        <a:xfrm flipH="1">
          <a:off x="5038888" y="32031910"/>
          <a:ext cx="40894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1864491</xdr:colOff>
      <xdr:row>143</xdr:row>
      <xdr:rowOff>166455</xdr:rowOff>
    </xdr:from>
    <xdr:to>
      <xdr:col>3</xdr:col>
      <xdr:colOff>1014143</xdr:colOff>
      <xdr:row>143</xdr:row>
      <xdr:rowOff>166455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>
          <a:stCxn id="75" idx="1"/>
        </xdr:cNvCxnSpPr>
      </xdr:nvCxnSpPr>
      <xdr:spPr>
        <a:xfrm flipH="1">
          <a:off x="2124264" y="32031910"/>
          <a:ext cx="226692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3330623</xdr:colOff>
      <xdr:row>141</xdr:row>
      <xdr:rowOff>18553</xdr:rowOff>
    </xdr:from>
    <xdr:to>
      <xdr:col>5</xdr:col>
      <xdr:colOff>995795</xdr:colOff>
      <xdr:row>141</xdr:row>
      <xdr:rowOff>18553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 flipH="1">
          <a:off x="6707668" y="31364462"/>
          <a:ext cx="2240059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3336200</xdr:colOff>
      <xdr:row>142</xdr:row>
      <xdr:rowOff>441</xdr:rowOff>
    </xdr:from>
    <xdr:to>
      <xdr:col>4</xdr:col>
      <xdr:colOff>168233</xdr:colOff>
      <xdr:row>142</xdr:row>
      <xdr:rowOff>441</xdr:rowOff>
    </xdr:to>
    <xdr:cxnSp macro="">
      <xdr:nvCxnSpPr>
        <xdr:cNvPr id="85" name="直線コネクタ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 flipH="1">
          <a:off x="6713245" y="31606123"/>
          <a:ext cx="454420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3343268</xdr:colOff>
      <xdr:row>142</xdr:row>
      <xdr:rowOff>242103</xdr:rowOff>
    </xdr:from>
    <xdr:to>
      <xdr:col>4</xdr:col>
      <xdr:colOff>179572</xdr:colOff>
      <xdr:row>142</xdr:row>
      <xdr:rowOff>242103</xdr:rowOff>
    </xdr:to>
    <xdr:cxnSp macro="">
      <xdr:nvCxnSpPr>
        <xdr:cNvPr id="89" name="直線コネクタ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CxnSpPr/>
      </xdr:nvCxnSpPr>
      <xdr:spPr>
        <a:xfrm flipH="1">
          <a:off x="6720313" y="31847785"/>
          <a:ext cx="458691" cy="0"/>
        </a:xfrm>
        <a:prstGeom prst="line">
          <a:avLst/>
        </a:prstGeom>
        <a:ln w="38100">
          <a:solidFill>
            <a:schemeClr val="tx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2967520</xdr:colOff>
      <xdr:row>140</xdr:row>
      <xdr:rowOff>106766</xdr:rowOff>
    </xdr:from>
    <xdr:to>
      <xdr:col>3</xdr:col>
      <xdr:colOff>3342999</xdr:colOff>
      <xdr:row>143</xdr:row>
      <xdr:rowOff>208365</xdr:rowOff>
    </xdr:to>
    <xdr:sp macro="" textlink="">
      <xdr:nvSpPr>
        <xdr:cNvPr id="91" name="台形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 rot="16200000">
          <a:off x="6091846" y="31445621"/>
          <a:ext cx="880918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1853447</xdr:colOff>
      <xdr:row>129</xdr:row>
      <xdr:rowOff>51327</xdr:rowOff>
    </xdr:from>
    <xdr:to>
      <xdr:col>5</xdr:col>
      <xdr:colOff>966932</xdr:colOff>
      <xdr:row>129</xdr:row>
      <xdr:rowOff>51327</xdr:rowOff>
    </xdr:to>
    <xdr:cxnSp macro="">
      <xdr:nvCxnSpPr>
        <xdr:cNvPr id="93" name="直線コネクタ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CxnSpPr/>
      </xdr:nvCxnSpPr>
      <xdr:spPr>
        <a:xfrm>
          <a:off x="2107447" y="28101762"/>
          <a:ext cx="6810789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2304360</xdr:colOff>
      <xdr:row>138</xdr:row>
      <xdr:rowOff>9553</xdr:rowOff>
    </xdr:from>
    <xdr:to>
      <xdr:col>3</xdr:col>
      <xdr:colOff>2304360</xdr:colOff>
      <xdr:row>141</xdr:row>
      <xdr:rowOff>61817</xdr:rowOff>
    </xdr:to>
    <xdr:cxnSp macro="">
      <xdr:nvCxnSpPr>
        <xdr:cNvPr id="97" name="直線コネクタ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CxnSpPr/>
      </xdr:nvCxnSpPr>
      <xdr:spPr>
        <a:xfrm>
          <a:off x="5682560" y="29981553"/>
          <a:ext cx="0" cy="814264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329448</xdr:colOff>
      <xdr:row>138</xdr:row>
      <xdr:rowOff>134151</xdr:rowOff>
    </xdr:from>
    <xdr:to>
      <xdr:col>3</xdr:col>
      <xdr:colOff>660752</xdr:colOff>
      <xdr:row>140</xdr:row>
      <xdr:rowOff>211455</xdr:rowOff>
    </xdr:to>
    <xdr:sp macro="" textlink="">
      <xdr:nvSpPr>
        <xdr:cNvPr id="99" name="雲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2753993" y="30700742"/>
          <a:ext cx="1283804" cy="596849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1842404</xdr:colOff>
      <xdr:row>139</xdr:row>
      <xdr:rowOff>181637</xdr:rowOff>
    </xdr:from>
    <xdr:to>
      <xdr:col>2</xdr:col>
      <xdr:colOff>351535</xdr:colOff>
      <xdr:row>139</xdr:row>
      <xdr:rowOff>181637</xdr:rowOff>
    </xdr:to>
    <xdr:cxnSp macro="">
      <xdr:nvCxnSpPr>
        <xdr:cNvPr id="100" name="直線コネクタ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CxnSpPr/>
      </xdr:nvCxnSpPr>
      <xdr:spPr>
        <a:xfrm>
          <a:off x="2102177" y="31008001"/>
          <a:ext cx="67390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517186</xdr:colOff>
      <xdr:row>128</xdr:row>
      <xdr:rowOff>101023</xdr:rowOff>
    </xdr:from>
    <xdr:to>
      <xdr:col>1</xdr:col>
      <xdr:colOff>1864490</xdr:colOff>
      <xdr:row>130</xdr:row>
      <xdr:rowOff>6903</xdr:rowOff>
    </xdr:to>
    <xdr:sp macro="" textlink="">
      <xdr:nvSpPr>
        <xdr:cNvPr id="101" name="正方形/長方形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71186" y="27886414"/>
          <a:ext cx="1347304" cy="4359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pwdata_i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526020</xdr:colOff>
      <xdr:row>138</xdr:row>
      <xdr:rowOff>220288</xdr:rowOff>
    </xdr:from>
    <xdr:to>
      <xdr:col>1</xdr:col>
      <xdr:colOff>1873324</xdr:colOff>
      <xdr:row>140</xdr:row>
      <xdr:rowOff>131941</xdr:rowOff>
    </xdr:to>
    <xdr:sp macro="" textlink="">
      <xdr:nvSpPr>
        <xdr:cNvPr id="102" name="正方形/長方形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85793" y="30786879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534855</xdr:colOff>
      <xdr:row>142</xdr:row>
      <xdr:rowOff>218080</xdr:rowOff>
    </xdr:from>
    <xdr:to>
      <xdr:col>1</xdr:col>
      <xdr:colOff>1882159</xdr:colOff>
      <xdr:row>144</xdr:row>
      <xdr:rowOff>129733</xdr:rowOff>
    </xdr:to>
    <xdr:sp macro="" textlink="">
      <xdr:nvSpPr>
        <xdr:cNvPr id="103" name="正方形/長方形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794628" y="31823762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prdata_o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490681</xdr:colOff>
      <xdr:row>132</xdr:row>
      <xdr:rowOff>38649</xdr:rowOff>
    </xdr:from>
    <xdr:to>
      <xdr:col>1</xdr:col>
      <xdr:colOff>1837985</xdr:colOff>
      <xdr:row>133</xdr:row>
      <xdr:rowOff>210075</xdr:rowOff>
    </xdr:to>
    <xdr:sp macro="" textlink="">
      <xdr:nvSpPr>
        <xdr:cNvPr id="104" name="正方形/長方形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750454" y="29046604"/>
          <a:ext cx="1347304" cy="4311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499515</xdr:colOff>
      <xdr:row>134</xdr:row>
      <xdr:rowOff>65679</xdr:rowOff>
    </xdr:from>
    <xdr:to>
      <xdr:col>1</xdr:col>
      <xdr:colOff>1846819</xdr:colOff>
      <xdr:row>135</xdr:row>
      <xdr:rowOff>231331</xdr:rowOff>
    </xdr:to>
    <xdr:sp macro="" textlink="">
      <xdr:nvSpPr>
        <xdr:cNvPr id="105" name="正方形/長方形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759288" y="29593179"/>
          <a:ext cx="1347304" cy="425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530436</xdr:colOff>
      <xdr:row>136</xdr:row>
      <xdr:rowOff>158444</xdr:rowOff>
    </xdr:from>
    <xdr:to>
      <xdr:col>1</xdr:col>
      <xdr:colOff>1877740</xdr:colOff>
      <xdr:row>138</xdr:row>
      <xdr:rowOff>70097</xdr:rowOff>
    </xdr:to>
    <xdr:sp macro="" textlink="">
      <xdr:nvSpPr>
        <xdr:cNvPr id="106" name="正方形/長方形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90209" y="30205489"/>
          <a:ext cx="1347304" cy="4311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1809274</xdr:colOff>
      <xdr:row>130</xdr:row>
      <xdr:rowOff>220870</xdr:rowOff>
    </xdr:from>
    <xdr:to>
      <xdr:col>3</xdr:col>
      <xdr:colOff>2228926</xdr:colOff>
      <xdr:row>135</xdr:row>
      <xdr:rowOff>213665</xdr:rowOff>
    </xdr:to>
    <xdr:sp macro="" textlink="">
      <xdr:nvSpPr>
        <xdr:cNvPr id="107" name="フローチャート: 論理積ゲート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5188578" y="28536348"/>
          <a:ext cx="419652" cy="1318013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2204630</xdr:colOff>
      <xdr:row>137</xdr:row>
      <xdr:rowOff>253146</xdr:rowOff>
    </xdr:from>
    <xdr:to>
      <xdr:col>3</xdr:col>
      <xdr:colOff>2304463</xdr:colOff>
      <xdr:row>137</xdr:row>
      <xdr:rowOff>253146</xdr:rowOff>
    </xdr:to>
    <xdr:cxnSp macro="">
      <xdr:nvCxnSpPr>
        <xdr:cNvPr id="109" name="直線コネクタ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CxnSpPr/>
      </xdr:nvCxnSpPr>
      <xdr:spPr>
        <a:xfrm flipH="1">
          <a:off x="5581675" y="30559964"/>
          <a:ext cx="99833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1796021</xdr:colOff>
      <xdr:row>136</xdr:row>
      <xdr:rowOff>131949</xdr:rowOff>
    </xdr:from>
    <xdr:to>
      <xdr:col>3</xdr:col>
      <xdr:colOff>2215673</xdr:colOff>
      <xdr:row>139</xdr:row>
      <xdr:rowOff>96606</xdr:rowOff>
    </xdr:to>
    <xdr:sp macro="" textlink="">
      <xdr:nvSpPr>
        <xdr:cNvPr id="110" name="フローチャート: 論理積ゲート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5173066" y="30178994"/>
          <a:ext cx="419652" cy="743976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1879676</xdr:colOff>
      <xdr:row>132</xdr:row>
      <xdr:rowOff>201516</xdr:rowOff>
    </xdr:from>
    <xdr:to>
      <xdr:col>3</xdr:col>
      <xdr:colOff>1793537</xdr:colOff>
      <xdr:row>132</xdr:row>
      <xdr:rowOff>201516</xdr:rowOff>
    </xdr:to>
    <xdr:cxnSp macro="">
      <xdr:nvCxnSpPr>
        <xdr:cNvPr id="111" name="直線コネクタ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>
          <a:off x="2139449" y="29209471"/>
          <a:ext cx="303113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1327409</xdr:colOff>
      <xdr:row>136</xdr:row>
      <xdr:rowOff>245780</xdr:rowOff>
    </xdr:from>
    <xdr:to>
      <xdr:col>3</xdr:col>
      <xdr:colOff>1795193</xdr:colOff>
      <xdr:row>136</xdr:row>
      <xdr:rowOff>245780</xdr:rowOff>
    </xdr:to>
    <xdr:cxnSp macro="">
      <xdr:nvCxnSpPr>
        <xdr:cNvPr id="113" name="直線コネクタ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>
          <a:cxnSpLocks/>
        </xdr:cNvCxnSpPr>
      </xdr:nvCxnSpPr>
      <xdr:spPr>
        <a:xfrm>
          <a:off x="4704454" y="30292825"/>
          <a:ext cx="46778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1338306</xdr:colOff>
      <xdr:row>132</xdr:row>
      <xdr:rowOff>211991</xdr:rowOff>
    </xdr:from>
    <xdr:to>
      <xdr:col>3</xdr:col>
      <xdr:colOff>1338306</xdr:colOff>
      <xdr:row>137</xdr:row>
      <xdr:rowOff>1086</xdr:rowOff>
    </xdr:to>
    <xdr:cxnSp macro="">
      <xdr:nvCxnSpPr>
        <xdr:cNvPr id="114" name="直線コネクタ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/>
      </xdr:nvCxnSpPr>
      <xdr:spPr>
        <a:xfrm>
          <a:off x="4715351" y="29219946"/>
          <a:ext cx="0" cy="1087958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1859071</xdr:colOff>
      <xdr:row>137</xdr:row>
      <xdr:rowOff>242190</xdr:rowOff>
    </xdr:from>
    <xdr:to>
      <xdr:col>3</xdr:col>
      <xdr:colOff>1567253</xdr:colOff>
      <xdr:row>137</xdr:row>
      <xdr:rowOff>242190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/>
      </xdr:nvCxnSpPr>
      <xdr:spPr>
        <a:xfrm>
          <a:off x="2118844" y="30549008"/>
          <a:ext cx="282545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1569197</xdr:colOff>
      <xdr:row>137</xdr:row>
      <xdr:rowOff>121705</xdr:rowOff>
    </xdr:from>
    <xdr:to>
      <xdr:col>3</xdr:col>
      <xdr:colOff>1790066</xdr:colOff>
      <xdr:row>138</xdr:row>
      <xdr:rowOff>88573</xdr:rowOff>
    </xdr:to>
    <xdr:sp macro="" textlink="">
      <xdr:nvSpPr>
        <xdr:cNvPr id="117" name="円/楕円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4946242" y="30428523"/>
          <a:ext cx="220869" cy="226641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1143546</xdr:colOff>
      <xdr:row>133</xdr:row>
      <xdr:rowOff>178837</xdr:rowOff>
    </xdr:from>
    <xdr:to>
      <xdr:col>3</xdr:col>
      <xdr:colOff>1801004</xdr:colOff>
      <xdr:row>133</xdr:row>
      <xdr:rowOff>178837</xdr:rowOff>
    </xdr:to>
    <xdr:cxnSp macro="">
      <xdr:nvCxnSpPr>
        <xdr:cNvPr id="118" name="直線コネクタ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520591" y="29446564"/>
          <a:ext cx="657458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1160147</xdr:colOff>
      <xdr:row>133</xdr:row>
      <xdr:rowOff>173296</xdr:rowOff>
    </xdr:from>
    <xdr:to>
      <xdr:col>3</xdr:col>
      <xdr:colOff>1160147</xdr:colOff>
      <xdr:row>137</xdr:row>
      <xdr:rowOff>241946</xdr:rowOff>
    </xdr:to>
    <xdr:cxnSp macro="">
      <xdr:nvCxnSpPr>
        <xdr:cNvPr id="119" name="直線コネクタ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CxnSpPr/>
      </xdr:nvCxnSpPr>
      <xdr:spPr>
        <a:xfrm flipV="1">
          <a:off x="4537192" y="29441023"/>
          <a:ext cx="0" cy="1107741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1569491</xdr:colOff>
      <xdr:row>138</xdr:row>
      <xdr:rowOff>108784</xdr:rowOff>
    </xdr:from>
    <xdr:to>
      <xdr:col>3</xdr:col>
      <xdr:colOff>1790360</xdr:colOff>
      <xdr:row>139</xdr:row>
      <xdr:rowOff>75651</xdr:rowOff>
    </xdr:to>
    <xdr:sp macro="" textlink="">
      <xdr:nvSpPr>
        <xdr:cNvPr id="121" name="円/楕円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4946536" y="30675375"/>
          <a:ext cx="220869" cy="22664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1884093</xdr:colOff>
      <xdr:row>134</xdr:row>
      <xdr:rowOff>159787</xdr:rowOff>
    </xdr:from>
    <xdr:to>
      <xdr:col>3</xdr:col>
      <xdr:colOff>1794654</xdr:colOff>
      <xdr:row>134</xdr:row>
      <xdr:rowOff>159787</xdr:rowOff>
    </xdr:to>
    <xdr:cxnSp macro="">
      <xdr:nvCxnSpPr>
        <xdr:cNvPr id="122" name="直線コネクタ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CxnSpPr/>
      </xdr:nvCxnSpPr>
      <xdr:spPr>
        <a:xfrm>
          <a:off x="2143866" y="29687287"/>
          <a:ext cx="302783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965773</xdr:colOff>
      <xdr:row>134</xdr:row>
      <xdr:rowOff>159075</xdr:rowOff>
    </xdr:from>
    <xdr:to>
      <xdr:col>3</xdr:col>
      <xdr:colOff>965773</xdr:colOff>
      <xdr:row>138</xdr:row>
      <xdr:rowOff>207942</xdr:rowOff>
    </xdr:to>
    <xdr:cxnSp macro="">
      <xdr:nvCxnSpPr>
        <xdr:cNvPr id="123" name="直線コネクタ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CxnSpPr/>
      </xdr:nvCxnSpPr>
      <xdr:spPr>
        <a:xfrm>
          <a:off x="4342818" y="29686575"/>
          <a:ext cx="0" cy="1087958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959109</xdr:colOff>
      <xdr:row>138</xdr:row>
      <xdr:rowOff>220380</xdr:rowOff>
    </xdr:from>
    <xdr:to>
      <xdr:col>3</xdr:col>
      <xdr:colOff>1560243</xdr:colOff>
      <xdr:row>138</xdr:row>
      <xdr:rowOff>220380</xdr:rowOff>
    </xdr:to>
    <xdr:cxnSp macro="">
      <xdr:nvCxnSpPr>
        <xdr:cNvPr id="126" name="直線コネクタ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CxnSpPr>
          <a:cxnSpLocks/>
        </xdr:cNvCxnSpPr>
      </xdr:nvCxnSpPr>
      <xdr:spPr>
        <a:xfrm>
          <a:off x="4336154" y="30786971"/>
          <a:ext cx="601134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785543</xdr:colOff>
      <xdr:row>135</xdr:row>
      <xdr:rowOff>112429</xdr:rowOff>
    </xdr:from>
    <xdr:to>
      <xdr:col>3</xdr:col>
      <xdr:colOff>1795193</xdr:colOff>
      <xdr:row>135</xdr:row>
      <xdr:rowOff>112429</xdr:rowOff>
    </xdr:to>
    <xdr:cxnSp macro="">
      <xdr:nvCxnSpPr>
        <xdr:cNvPr id="127" name="直線コネクタ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CxnSpPr>
          <a:cxnSpLocks/>
        </xdr:cNvCxnSpPr>
      </xdr:nvCxnSpPr>
      <xdr:spPr>
        <a:xfrm>
          <a:off x="4162588" y="29899702"/>
          <a:ext cx="100965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785791</xdr:colOff>
      <xdr:row>135</xdr:row>
      <xdr:rowOff>86602</xdr:rowOff>
    </xdr:from>
    <xdr:to>
      <xdr:col>3</xdr:col>
      <xdr:colOff>785791</xdr:colOff>
      <xdr:row>139</xdr:row>
      <xdr:rowOff>155252</xdr:rowOff>
    </xdr:to>
    <xdr:cxnSp macro="">
      <xdr:nvCxnSpPr>
        <xdr:cNvPr id="128" name="直線コネクタ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CxnSpPr/>
      </xdr:nvCxnSpPr>
      <xdr:spPr>
        <a:xfrm flipV="1">
          <a:off x="4162836" y="29873875"/>
          <a:ext cx="0" cy="1107741"/>
        </a:xfrm>
        <a:prstGeom prst="line">
          <a:avLst/>
        </a:prstGeom>
        <a:ln w="38100"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2073440</xdr:colOff>
      <xdr:row>141</xdr:row>
      <xdr:rowOff>29429</xdr:rowOff>
    </xdr:from>
    <xdr:to>
      <xdr:col>3</xdr:col>
      <xdr:colOff>2448919</xdr:colOff>
      <xdr:row>145</xdr:row>
      <xdr:rowOff>228686</xdr:rowOff>
    </xdr:to>
    <xdr:sp macro="" textlink="">
      <xdr:nvSpPr>
        <xdr:cNvPr id="129" name="台形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 rot="16200000">
          <a:off x="5019051" y="31806772"/>
          <a:ext cx="1238348" cy="375479"/>
        </a:xfrm>
        <a:prstGeom prst="trapezoi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2434003</xdr:colOff>
      <xdr:row>142</xdr:row>
      <xdr:rowOff>166456</xdr:rowOff>
    </xdr:from>
    <xdr:to>
      <xdr:col>3</xdr:col>
      <xdr:colOff>2954703</xdr:colOff>
      <xdr:row>142</xdr:row>
      <xdr:rowOff>166456</xdr:rowOff>
    </xdr:to>
    <xdr:cxnSp macro="">
      <xdr:nvCxnSpPr>
        <xdr:cNvPr id="136" name="直線コネクタ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CxnSpPr>
          <a:cxnSpLocks/>
        </xdr:cNvCxnSpPr>
      </xdr:nvCxnSpPr>
      <xdr:spPr>
        <a:xfrm flipH="1">
          <a:off x="5811048" y="31772138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2444163</xdr:colOff>
      <xdr:row>144</xdr:row>
      <xdr:rowOff>176616</xdr:rowOff>
    </xdr:from>
    <xdr:to>
      <xdr:col>3</xdr:col>
      <xdr:colOff>2964863</xdr:colOff>
      <xdr:row>144</xdr:row>
      <xdr:rowOff>176616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CxnSpPr>
          <a:cxnSpLocks/>
        </xdr:cNvCxnSpPr>
      </xdr:nvCxnSpPr>
      <xdr:spPr>
        <a:xfrm flipH="1">
          <a:off x="5821208" y="32301843"/>
          <a:ext cx="520700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2964420</xdr:colOff>
      <xdr:row>143</xdr:row>
      <xdr:rowOff>239724</xdr:rowOff>
    </xdr:from>
    <xdr:to>
      <xdr:col>3</xdr:col>
      <xdr:colOff>3432223</xdr:colOff>
      <xdr:row>145</xdr:row>
      <xdr:rowOff>151378</xdr:rowOff>
    </xdr:to>
    <xdr:sp macro="" textlink="">
      <xdr:nvSpPr>
        <xdr:cNvPr id="140" name="正方形/長方形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6341465" y="32105179"/>
          <a:ext cx="467803" cy="4311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0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176875</xdr:colOff>
      <xdr:row>141</xdr:row>
      <xdr:rowOff>121310</xdr:rowOff>
    </xdr:from>
    <xdr:to>
      <xdr:col>5</xdr:col>
      <xdr:colOff>165978</xdr:colOff>
      <xdr:row>143</xdr:row>
      <xdr:rowOff>169434</xdr:rowOff>
    </xdr:to>
    <xdr:sp macro="" textlink="">
      <xdr:nvSpPr>
        <xdr:cNvPr id="146" name="正方形/長方形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7176307" y="31467219"/>
          <a:ext cx="941603" cy="567670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Others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1006403</xdr:colOff>
      <xdr:row>105</xdr:row>
      <xdr:rowOff>129886</xdr:rowOff>
    </xdr:from>
    <xdr:to>
      <xdr:col>5</xdr:col>
      <xdr:colOff>3449205</xdr:colOff>
      <xdr:row>123</xdr:row>
      <xdr:rowOff>28864</xdr:rowOff>
    </xdr:to>
    <xdr:sp macro="" textlink="">
      <xdr:nvSpPr>
        <xdr:cNvPr id="150" name="正方形/長方形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8958335" y="22383750"/>
          <a:ext cx="2442802" cy="4574887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971190</xdr:colOff>
      <xdr:row>60</xdr:row>
      <xdr:rowOff>65809</xdr:rowOff>
    </xdr:from>
    <xdr:to>
      <xdr:col>5</xdr:col>
      <xdr:colOff>3413992</xdr:colOff>
      <xdr:row>80</xdr:row>
      <xdr:rowOff>202046</xdr:rowOff>
    </xdr:to>
    <xdr:sp macro="" textlink="">
      <xdr:nvSpPr>
        <xdr:cNvPr id="151" name="正方形/長方形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8923122" y="16344900"/>
          <a:ext cx="2442802" cy="5331691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1000053</xdr:colOff>
      <xdr:row>126</xdr:row>
      <xdr:rowOff>94672</xdr:rowOff>
    </xdr:from>
    <xdr:to>
      <xdr:col>5</xdr:col>
      <xdr:colOff>3442855</xdr:colOff>
      <xdr:row>146</xdr:row>
      <xdr:rowOff>230909</xdr:rowOff>
    </xdr:to>
    <xdr:sp macro="" textlink="">
      <xdr:nvSpPr>
        <xdr:cNvPr id="152" name="正方形/長方形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8951985" y="27543990"/>
          <a:ext cx="2442802" cy="5331692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2228926</xdr:colOff>
      <xdr:row>133</xdr:row>
      <xdr:rowOff>84746</xdr:rowOff>
    </xdr:from>
    <xdr:to>
      <xdr:col>5</xdr:col>
      <xdr:colOff>1004957</xdr:colOff>
      <xdr:row>133</xdr:row>
      <xdr:rowOff>88348</xdr:rowOff>
    </xdr:to>
    <xdr:cxnSp macro="">
      <xdr:nvCxnSpPr>
        <xdr:cNvPr id="157" name="直線コネクタ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CxnSpPr>
          <a:stCxn id="107" idx="3"/>
        </xdr:cNvCxnSpPr>
      </xdr:nvCxnSpPr>
      <xdr:spPr>
        <a:xfrm>
          <a:off x="5608230" y="29195355"/>
          <a:ext cx="3348031" cy="3602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417469</xdr:colOff>
      <xdr:row>137</xdr:row>
      <xdr:rowOff>28864</xdr:rowOff>
    </xdr:from>
    <xdr:to>
      <xdr:col>4</xdr:col>
      <xdr:colOff>837121</xdr:colOff>
      <xdr:row>140</xdr:row>
      <xdr:rowOff>120724</xdr:rowOff>
    </xdr:to>
    <xdr:sp macro="" textlink="">
      <xdr:nvSpPr>
        <xdr:cNvPr id="165" name="フローチャート: 論理積ゲート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7416901" y="30335682"/>
          <a:ext cx="419652" cy="871178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663738</xdr:colOff>
      <xdr:row>139</xdr:row>
      <xdr:rowOff>163807</xdr:rowOff>
    </xdr:from>
    <xdr:to>
      <xdr:col>4</xdr:col>
      <xdr:colOff>432954</xdr:colOff>
      <xdr:row>139</xdr:row>
      <xdr:rowOff>163807</xdr:rowOff>
    </xdr:to>
    <xdr:cxnSp macro="">
      <xdr:nvCxnSpPr>
        <xdr:cNvPr id="167" name="直線コネクタ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CxnSpPr>
          <a:cxnSpLocks/>
        </xdr:cNvCxnSpPr>
      </xdr:nvCxnSpPr>
      <xdr:spPr>
        <a:xfrm>
          <a:off x="4040783" y="30990171"/>
          <a:ext cx="339160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831156</xdr:colOff>
      <xdr:row>138</xdr:row>
      <xdr:rowOff>186118</xdr:rowOff>
    </xdr:from>
    <xdr:to>
      <xdr:col>5</xdr:col>
      <xdr:colOff>1004262</xdr:colOff>
      <xdr:row>138</xdr:row>
      <xdr:rowOff>186118</xdr:rowOff>
    </xdr:to>
    <xdr:cxnSp macro="">
      <xdr:nvCxnSpPr>
        <xdr:cNvPr id="169" name="直線コネクタ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CxnSpPr/>
      </xdr:nvCxnSpPr>
      <xdr:spPr>
        <a:xfrm>
          <a:off x="7841556" y="30175051"/>
          <a:ext cx="1129839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2309167</xdr:colOff>
      <xdr:row>137</xdr:row>
      <xdr:rowOff>253273</xdr:rowOff>
    </xdr:from>
    <xdr:to>
      <xdr:col>4</xdr:col>
      <xdr:colOff>431800</xdr:colOff>
      <xdr:row>137</xdr:row>
      <xdr:rowOff>253273</xdr:rowOff>
    </xdr:to>
    <xdr:cxnSp macro="">
      <xdr:nvCxnSpPr>
        <xdr:cNvPr id="173" name="直線コネクタ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CxnSpPr/>
      </xdr:nvCxnSpPr>
      <xdr:spPr>
        <a:xfrm>
          <a:off x="5695834" y="29988206"/>
          <a:ext cx="1746366" cy="0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3149600</xdr:colOff>
      <xdr:row>139</xdr:row>
      <xdr:rowOff>152400</xdr:rowOff>
    </xdr:from>
    <xdr:to>
      <xdr:col>3</xdr:col>
      <xdr:colOff>3155260</xdr:colOff>
      <xdr:row>140</xdr:row>
      <xdr:rowOff>153701</xdr:rowOff>
    </xdr:to>
    <xdr:cxnSp macro="">
      <xdr:nvCxnSpPr>
        <xdr:cNvPr id="183" name="直線コネクタ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CxnSpPr>
          <a:endCxn id="91" idx="3"/>
        </xdr:cNvCxnSpPr>
      </xdr:nvCxnSpPr>
      <xdr:spPr>
        <a:xfrm>
          <a:off x="6527800" y="30378400"/>
          <a:ext cx="5660" cy="255301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512416</xdr:colOff>
      <xdr:row>64</xdr:row>
      <xdr:rowOff>139972</xdr:rowOff>
    </xdr:from>
    <xdr:to>
      <xdr:col>1</xdr:col>
      <xdr:colOff>1859720</xdr:colOff>
      <xdr:row>66</xdr:row>
      <xdr:rowOff>51625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6416" y="17191102"/>
          <a:ext cx="1347304" cy="441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pstrb_i[*]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1877391</xdr:colOff>
      <xdr:row>65</xdr:row>
      <xdr:rowOff>132521</xdr:rowOff>
    </xdr:from>
    <xdr:to>
      <xdr:col>3</xdr:col>
      <xdr:colOff>1791252</xdr:colOff>
      <xdr:row>65</xdr:row>
      <xdr:rowOff>132521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131391" y="17448695"/>
          <a:ext cx="303916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519044</xdr:colOff>
      <xdr:row>130</xdr:row>
      <xdr:rowOff>88348</xdr:rowOff>
    </xdr:from>
    <xdr:to>
      <xdr:col>1</xdr:col>
      <xdr:colOff>1866348</xdr:colOff>
      <xdr:row>132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73044" y="28403826"/>
          <a:ext cx="1347304" cy="4417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pstrb_i[*]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1885449</xdr:colOff>
      <xdr:row>131</xdr:row>
      <xdr:rowOff>98862</xdr:rowOff>
    </xdr:from>
    <xdr:to>
      <xdr:col>3</xdr:col>
      <xdr:colOff>1799310</xdr:colOff>
      <xdr:row>131</xdr:row>
      <xdr:rowOff>98862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2139449" y="28679384"/>
          <a:ext cx="3039165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110</xdr:row>
      <xdr:rowOff>33867</xdr:rowOff>
    </xdr:from>
    <xdr:to>
      <xdr:col>4</xdr:col>
      <xdr:colOff>826052</xdr:colOff>
      <xdr:row>116</xdr:row>
      <xdr:rowOff>169332</xdr:rowOff>
    </xdr:to>
    <xdr:sp macro="" textlink="">
      <xdr:nvSpPr>
        <xdr:cNvPr id="17" name="フローチャート: 論理積ゲート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399867" y="28583467"/>
          <a:ext cx="419652" cy="1744132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820087</xdr:colOff>
      <xdr:row>113</xdr:row>
      <xdr:rowOff>38721</xdr:rowOff>
    </xdr:from>
    <xdr:to>
      <xdr:col>5</xdr:col>
      <xdr:colOff>993193</xdr:colOff>
      <xdr:row>113</xdr:row>
      <xdr:rowOff>38721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7813554" y="29401121"/>
          <a:ext cx="1121372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2302934</xdr:colOff>
      <xdr:row>111</xdr:row>
      <xdr:rowOff>50800</xdr:rowOff>
    </xdr:from>
    <xdr:to>
      <xdr:col>4</xdr:col>
      <xdr:colOff>425567</xdr:colOff>
      <xdr:row>111</xdr:row>
      <xdr:rowOff>50800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672667" y="28871333"/>
          <a:ext cx="1746367" cy="0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3149600</xdr:colOff>
      <xdr:row>115</xdr:row>
      <xdr:rowOff>203199</xdr:rowOff>
    </xdr:from>
    <xdr:to>
      <xdr:col>4</xdr:col>
      <xdr:colOff>406400</xdr:colOff>
      <xdr:row>115</xdr:row>
      <xdr:rowOff>203199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6519333" y="30090532"/>
          <a:ext cx="880534" cy="0"/>
        </a:xfrm>
        <a:prstGeom prst="line">
          <a:avLst/>
        </a:prstGeom>
        <a:ln w="38100">
          <a:solidFill>
            <a:schemeClr val="tx1"/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130664</xdr:colOff>
      <xdr:row>83</xdr:row>
      <xdr:rowOff>101024</xdr:rowOff>
    </xdr:from>
    <xdr:to>
      <xdr:col>5</xdr:col>
      <xdr:colOff>485733</xdr:colOff>
      <xdr:row>98</xdr:row>
      <xdr:rowOff>203680</xdr:rowOff>
    </xdr:to>
    <xdr:sp macro="" textlink="">
      <xdr:nvSpPr>
        <xdr:cNvPr id="185" name="正方形/長方形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>
          <a:off x="2550853" y="22733382"/>
          <a:ext cx="5890352" cy="405643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1853447</xdr:colOff>
      <xdr:row>86</xdr:row>
      <xdr:rowOff>51327</xdr:rowOff>
    </xdr:from>
    <xdr:to>
      <xdr:col>5</xdr:col>
      <xdr:colOff>966932</xdr:colOff>
      <xdr:row>86</xdr:row>
      <xdr:rowOff>51327</xdr:rowOff>
    </xdr:to>
    <xdr:cxnSp macro="">
      <xdr:nvCxnSpPr>
        <xdr:cNvPr id="197" name="直線コネクタ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CxnSpPr/>
      </xdr:nvCxnSpPr>
      <xdr:spPr>
        <a:xfrm>
          <a:off x="2105051" y="34964346"/>
          <a:ext cx="6817353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329448</xdr:colOff>
      <xdr:row>95</xdr:row>
      <xdr:rowOff>134151</xdr:rowOff>
    </xdr:from>
    <xdr:to>
      <xdr:col>3</xdr:col>
      <xdr:colOff>660752</xdr:colOff>
      <xdr:row>97</xdr:row>
      <xdr:rowOff>211455</xdr:rowOff>
    </xdr:to>
    <xdr:sp macro="" textlink="">
      <xdr:nvSpPr>
        <xdr:cNvPr id="199" name="雲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>
        <a:xfrm>
          <a:off x="2749637" y="37419434"/>
          <a:ext cx="1289794" cy="604474"/>
        </a:xfrm>
        <a:prstGeom prst="cloud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solidFill>
                <a:schemeClr val="tx1"/>
              </a:solidFill>
            </a:rPr>
            <a:t>decode</a:t>
          </a:r>
          <a:endParaRPr kumimoji="1" lang="ja-JP" altLang="en-U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1842404</xdr:colOff>
      <xdr:row>96</xdr:row>
      <xdr:rowOff>181637</xdr:rowOff>
    </xdr:from>
    <xdr:to>
      <xdr:col>2</xdr:col>
      <xdr:colOff>351535</xdr:colOff>
      <xdr:row>96</xdr:row>
      <xdr:rowOff>181637</xdr:rowOff>
    </xdr:to>
    <xdr:cxnSp macro="">
      <xdr:nvCxnSpPr>
        <xdr:cNvPr id="201" name="直線コネクタ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/>
      </xdr:nvCxnSpPr>
      <xdr:spPr>
        <a:xfrm>
          <a:off x="2094008" y="37730505"/>
          <a:ext cx="67771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517186</xdr:colOff>
      <xdr:row>85</xdr:row>
      <xdr:rowOff>101023</xdr:rowOff>
    </xdr:from>
    <xdr:to>
      <xdr:col>1</xdr:col>
      <xdr:colOff>1864490</xdr:colOff>
      <xdr:row>87</xdr:row>
      <xdr:rowOff>6903</xdr:rowOff>
    </xdr:to>
    <xdr:sp macro="" textlink="">
      <xdr:nvSpPr>
        <xdr:cNvPr id="203" name="正方形/長方形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/>
      </xdr:nvSpPr>
      <xdr:spPr>
        <a:xfrm>
          <a:off x="768790" y="34750457"/>
          <a:ext cx="1347304" cy="433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pwdata_i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526020</xdr:colOff>
      <xdr:row>95</xdr:row>
      <xdr:rowOff>220288</xdr:rowOff>
    </xdr:from>
    <xdr:to>
      <xdr:col>1</xdr:col>
      <xdr:colOff>1873324</xdr:colOff>
      <xdr:row>97</xdr:row>
      <xdr:rowOff>131941</xdr:rowOff>
    </xdr:to>
    <xdr:sp macro="" textlink="">
      <xdr:nvSpPr>
        <xdr:cNvPr id="205" name="正方形/長方形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>
        <a:xfrm>
          <a:off x="777624" y="37505571"/>
          <a:ext cx="1347304" cy="43882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paddr_i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490681</xdr:colOff>
      <xdr:row>89</xdr:row>
      <xdr:rowOff>38649</xdr:rowOff>
    </xdr:from>
    <xdr:to>
      <xdr:col>1</xdr:col>
      <xdr:colOff>1837985</xdr:colOff>
      <xdr:row>90</xdr:row>
      <xdr:rowOff>210075</xdr:rowOff>
    </xdr:to>
    <xdr:sp macro="" textlink="">
      <xdr:nvSpPr>
        <xdr:cNvPr id="207" name="正方形/長方形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>
          <a:off x="742285" y="35742423"/>
          <a:ext cx="1347304" cy="4350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psel_i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499515</xdr:colOff>
      <xdr:row>91</xdr:row>
      <xdr:rowOff>65679</xdr:rowOff>
    </xdr:from>
    <xdr:to>
      <xdr:col>1</xdr:col>
      <xdr:colOff>1846819</xdr:colOff>
      <xdr:row>92</xdr:row>
      <xdr:rowOff>231331</xdr:rowOff>
    </xdr:to>
    <xdr:sp macro="" textlink="">
      <xdr:nvSpPr>
        <xdr:cNvPr id="208" name="正方形/長方形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>
        <a:xfrm>
          <a:off x="751119" y="36296622"/>
          <a:ext cx="1347304" cy="42923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penable_i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530436</xdr:colOff>
      <xdr:row>93</xdr:row>
      <xdr:rowOff>158444</xdr:rowOff>
    </xdr:from>
    <xdr:to>
      <xdr:col>1</xdr:col>
      <xdr:colOff>1877740</xdr:colOff>
      <xdr:row>95</xdr:row>
      <xdr:rowOff>70097</xdr:rowOff>
    </xdr:to>
    <xdr:sp macro="" textlink="">
      <xdr:nvSpPr>
        <xdr:cNvPr id="209" name="正方形/長方形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>
        <a:xfrm>
          <a:off x="782040" y="36916557"/>
          <a:ext cx="1347304" cy="43882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pwrite_i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1809274</xdr:colOff>
      <xdr:row>87</xdr:row>
      <xdr:rowOff>220870</xdr:rowOff>
    </xdr:from>
    <xdr:to>
      <xdr:col>3</xdr:col>
      <xdr:colOff>2228926</xdr:colOff>
      <xdr:row>97</xdr:row>
      <xdr:rowOff>27312</xdr:rowOff>
    </xdr:to>
    <xdr:sp macro="" textlink="">
      <xdr:nvSpPr>
        <xdr:cNvPr id="210" name="フローチャート: 論理積ゲート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>
        <a:xfrm>
          <a:off x="5195941" y="24596676"/>
          <a:ext cx="419652" cy="2537625"/>
        </a:xfrm>
        <a:prstGeom prst="flowChartDelay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1879676</xdr:colOff>
      <xdr:row>90</xdr:row>
      <xdr:rowOff>23990</xdr:rowOff>
    </xdr:from>
    <xdr:to>
      <xdr:col>3</xdr:col>
      <xdr:colOff>1793537</xdr:colOff>
      <xdr:row>90</xdr:row>
      <xdr:rowOff>23990</xdr:rowOff>
    </xdr:to>
    <xdr:cxnSp macro="">
      <xdr:nvCxnSpPr>
        <xdr:cNvPr id="213" name="直線コネクタ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CxnSpPr/>
      </xdr:nvCxnSpPr>
      <xdr:spPr>
        <a:xfrm>
          <a:off x="2139138" y="25219151"/>
          <a:ext cx="304106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1859071</xdr:colOff>
      <xdr:row>94</xdr:row>
      <xdr:rowOff>242190</xdr:rowOff>
    </xdr:from>
    <xdr:to>
      <xdr:col>3</xdr:col>
      <xdr:colOff>1775268</xdr:colOff>
      <xdr:row>94</xdr:row>
      <xdr:rowOff>242190</xdr:rowOff>
    </xdr:to>
    <xdr:cxnSp macro="">
      <xdr:nvCxnSpPr>
        <xdr:cNvPr id="216" name="直線コネクタ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CxnSpPr/>
      </xdr:nvCxnSpPr>
      <xdr:spPr>
        <a:xfrm>
          <a:off x="2118533" y="26529824"/>
          <a:ext cx="3043402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1884093</xdr:colOff>
      <xdr:row>92</xdr:row>
      <xdr:rowOff>23229</xdr:rowOff>
    </xdr:from>
    <xdr:to>
      <xdr:col>3</xdr:col>
      <xdr:colOff>1794654</xdr:colOff>
      <xdr:row>92</xdr:row>
      <xdr:rowOff>23229</xdr:rowOff>
    </xdr:to>
    <xdr:cxnSp macro="">
      <xdr:nvCxnSpPr>
        <xdr:cNvPr id="221" name="直線コネクタ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CxnSpPr/>
      </xdr:nvCxnSpPr>
      <xdr:spPr>
        <a:xfrm>
          <a:off x="2143555" y="25764627"/>
          <a:ext cx="303776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659679</xdr:colOff>
      <xdr:row>96</xdr:row>
      <xdr:rowOff>172803</xdr:rowOff>
    </xdr:from>
    <xdr:to>
      <xdr:col>3</xdr:col>
      <xdr:colOff>1802580</xdr:colOff>
      <xdr:row>96</xdr:row>
      <xdr:rowOff>177527</xdr:rowOff>
    </xdr:to>
    <xdr:cxnSp macro="">
      <xdr:nvCxnSpPr>
        <xdr:cNvPr id="224" name="直線コネクタ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CxnSpPr>
          <a:cxnSpLocks/>
          <a:stCxn id="199" idx="0"/>
        </xdr:cNvCxnSpPr>
      </xdr:nvCxnSpPr>
      <xdr:spPr>
        <a:xfrm>
          <a:off x="4046346" y="27006674"/>
          <a:ext cx="1142901" cy="4724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1000053</xdr:colOff>
      <xdr:row>83</xdr:row>
      <xdr:rowOff>94672</xdr:rowOff>
    </xdr:from>
    <xdr:to>
      <xdr:col>5</xdr:col>
      <xdr:colOff>3442855</xdr:colOff>
      <xdr:row>98</xdr:row>
      <xdr:rowOff>179717</xdr:rowOff>
    </xdr:to>
    <xdr:sp macro="" textlink="">
      <xdr:nvSpPr>
        <xdr:cNvPr id="231" name="正方形/長方形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/>
      </xdr:nvSpPr>
      <xdr:spPr>
        <a:xfrm>
          <a:off x="8955525" y="22727030"/>
          <a:ext cx="2442802" cy="4038819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aseline="0">
              <a:solidFill>
                <a:schemeClr val="tx1"/>
              </a:solidFill>
            </a:rPr>
            <a:t>User Logic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2228926</xdr:colOff>
      <xdr:row>92</xdr:row>
      <xdr:rowOff>122903</xdr:rowOff>
    </xdr:from>
    <xdr:to>
      <xdr:col>5</xdr:col>
      <xdr:colOff>1010537</xdr:colOff>
      <xdr:row>92</xdr:row>
      <xdr:rowOff>124091</xdr:rowOff>
    </xdr:to>
    <xdr:cxnSp macro="">
      <xdr:nvCxnSpPr>
        <xdr:cNvPr id="232" name="直線コネクタ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CxnSpPr>
          <a:stCxn id="210" idx="3"/>
        </xdr:cNvCxnSpPr>
      </xdr:nvCxnSpPr>
      <xdr:spPr>
        <a:xfrm flipV="1">
          <a:off x="5615593" y="25864301"/>
          <a:ext cx="3356342" cy="1188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519044</xdr:colOff>
      <xdr:row>87</xdr:row>
      <xdr:rowOff>88348</xdr:rowOff>
    </xdr:from>
    <xdr:to>
      <xdr:col>1</xdr:col>
      <xdr:colOff>1866348</xdr:colOff>
      <xdr:row>89</xdr:row>
      <xdr:rowOff>1</xdr:rowOff>
    </xdr:to>
    <xdr:sp macro="" textlink="">
      <xdr:nvSpPr>
        <xdr:cNvPr id="238" name="正方形/長方形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/>
      </xdr:nvSpPr>
      <xdr:spPr>
        <a:xfrm>
          <a:off x="770648" y="35264952"/>
          <a:ext cx="1347304" cy="43882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>
              <a:solidFill>
                <a:schemeClr val="tx1"/>
              </a:solidFill>
            </a:rPr>
            <a:t>pstrb_i[*]</a:t>
          </a:r>
          <a:endParaRPr kumimoji="1" lang="ja-JP" alt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1885449</xdr:colOff>
      <xdr:row>88</xdr:row>
      <xdr:rowOff>98862</xdr:rowOff>
    </xdr:from>
    <xdr:to>
      <xdr:col>3</xdr:col>
      <xdr:colOff>1799310</xdr:colOff>
      <xdr:row>88</xdr:row>
      <xdr:rowOff>98862</xdr:rowOff>
    </xdr:to>
    <xdr:cxnSp macro="">
      <xdr:nvCxnSpPr>
        <xdr:cNvPr id="239" name="直線コネクタ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CxnSpPr/>
      </xdr:nvCxnSpPr>
      <xdr:spPr>
        <a:xfrm>
          <a:off x="2137053" y="35539051"/>
          <a:ext cx="3040936" cy="0"/>
        </a:xfrm>
        <a:prstGeom prst="line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BD5B-9CDE-B449-8CDC-46027A1E6C9D}">
  <sheetPr codeName="Sheet1"/>
  <dimension ref="B2:L134"/>
  <sheetViews>
    <sheetView tabSelected="1" workbookViewId="0">
      <selection activeCell="L3" sqref="L3"/>
    </sheetView>
  </sheetViews>
  <sheetFormatPr baseColWidth="10" defaultRowHeight="20"/>
  <cols>
    <col min="1" max="1" width="3.28515625" customWidth="1"/>
    <col min="2" max="2" width="13.42578125" customWidth="1"/>
    <col min="3" max="4" width="12.140625" customWidth="1"/>
    <col min="5" max="5" width="20" customWidth="1"/>
    <col min="6" max="7" width="5" customWidth="1"/>
    <col min="8" max="8" width="7.140625" customWidth="1"/>
    <col min="9" max="9" width="6.7109375" customWidth="1"/>
    <col min="10" max="11" width="8.42578125" customWidth="1"/>
    <col min="12" max="12" width="82" customWidth="1"/>
  </cols>
  <sheetData>
    <row r="2" spans="2:12">
      <c r="B2" s="1" t="s">
        <v>57</v>
      </c>
      <c r="C2" s="2">
        <v>32</v>
      </c>
    </row>
    <row r="3" spans="2:12">
      <c r="B3" s="1" t="s">
        <v>58</v>
      </c>
      <c r="C3" s="2">
        <v>2</v>
      </c>
      <c r="D3" t="s">
        <v>101</v>
      </c>
      <c r="E3" s="6"/>
    </row>
    <row r="5" spans="2:12" ht="42">
      <c r="B5" s="9" t="s">
        <v>0</v>
      </c>
      <c r="C5" s="10" t="s">
        <v>59</v>
      </c>
      <c r="D5" s="10" t="s">
        <v>60</v>
      </c>
      <c r="E5" s="9" t="s">
        <v>1</v>
      </c>
      <c r="F5" s="9" t="s">
        <v>2</v>
      </c>
      <c r="G5" s="9" t="s">
        <v>3</v>
      </c>
      <c r="H5" s="10" t="s">
        <v>63</v>
      </c>
      <c r="I5" s="9" t="s">
        <v>4</v>
      </c>
      <c r="J5" s="10" t="s">
        <v>61</v>
      </c>
      <c r="K5" s="10" t="s">
        <v>62</v>
      </c>
      <c r="L5" s="9" t="s">
        <v>7</v>
      </c>
    </row>
    <row r="6" spans="2:12">
      <c r="B6" s="7" t="s">
        <v>52</v>
      </c>
      <c r="C6" s="7">
        <v>0</v>
      </c>
      <c r="D6" s="8" t="str">
        <f>IF(C6="","","0x"&amp;DEC2HEX(C6*(2^$C$3)))</f>
        <v>0x0</v>
      </c>
      <c r="E6" s="7" t="s">
        <v>9</v>
      </c>
      <c r="F6" s="7">
        <v>0</v>
      </c>
      <c r="G6" s="7">
        <v>0</v>
      </c>
      <c r="H6" s="11">
        <f>F6-G6+1</f>
        <v>1</v>
      </c>
      <c r="I6" s="7" t="s">
        <v>10</v>
      </c>
      <c r="J6" s="7">
        <v>0</v>
      </c>
      <c r="K6" s="11" t="str">
        <f>"0x"&amp;DEC2HEX(J6)</f>
        <v>0x0</v>
      </c>
      <c r="L6" s="7"/>
    </row>
    <row r="7" spans="2:12">
      <c r="B7" s="7"/>
      <c r="C7" s="7"/>
      <c r="D7" s="8" t="str">
        <f>IF(C7="","","0x"&amp;DEC2HEX(C7*(2^$C$3)))</f>
        <v/>
      </c>
      <c r="E7" s="7" t="s">
        <v>50</v>
      </c>
      <c r="F7" s="7">
        <v>25</v>
      </c>
      <c r="G7" s="7">
        <v>6</v>
      </c>
      <c r="H7" s="11">
        <f>F7-G7+1</f>
        <v>20</v>
      </c>
      <c r="I7" s="7" t="s">
        <v>10</v>
      </c>
      <c r="J7" s="7">
        <v>31</v>
      </c>
      <c r="K7" s="11" t="str">
        <f>"0x"&amp;DEC2HEX(J7)</f>
        <v>0x1F</v>
      </c>
      <c r="L7" s="7"/>
    </row>
    <row r="8" spans="2:12">
      <c r="B8" s="7" t="s">
        <v>51</v>
      </c>
      <c r="C8" s="7">
        <v>1</v>
      </c>
      <c r="D8" s="8" t="str">
        <f>IF(C8="","","0x"&amp;DEC2HEX(C8*(2^$C$3)))</f>
        <v>0x4</v>
      </c>
      <c r="E8" s="7" t="s">
        <v>55</v>
      </c>
      <c r="F8" s="7">
        <v>11</v>
      </c>
      <c r="G8" s="7">
        <v>0</v>
      </c>
      <c r="H8" s="11">
        <f>F8-G8+1</f>
        <v>12</v>
      </c>
      <c r="I8" s="7" t="s">
        <v>124</v>
      </c>
      <c r="J8" s="7">
        <v>0</v>
      </c>
      <c r="K8" s="11" t="str">
        <f>"0x"&amp;DEC2HEX(J8)</f>
        <v>0x0</v>
      </c>
      <c r="L8" s="7"/>
    </row>
    <row r="9" spans="2:12">
      <c r="B9" s="7"/>
      <c r="C9" s="7"/>
      <c r="D9" s="8" t="str">
        <f>IF(C9="","","0x"&amp;DEC2HEX(C9*(2^$C$3)))</f>
        <v/>
      </c>
      <c r="E9" s="7" t="s">
        <v>56</v>
      </c>
      <c r="F9" s="7">
        <v>27</v>
      </c>
      <c r="G9" s="7">
        <v>16</v>
      </c>
      <c r="H9" s="11">
        <f>F9-G9+1</f>
        <v>12</v>
      </c>
      <c r="I9" s="7" t="s">
        <v>54</v>
      </c>
      <c r="J9" s="7">
        <v>0</v>
      </c>
      <c r="K9" s="11" t="str">
        <f>"0x"&amp;DEC2HEX(J9)</f>
        <v>0x0</v>
      </c>
      <c r="L9" s="7"/>
    </row>
    <row r="10" spans="2:12">
      <c r="B10" s="7" t="s">
        <v>47</v>
      </c>
      <c r="C10" s="7">
        <v>2</v>
      </c>
      <c r="D10" s="8" t="str">
        <f>IF(C10="","","0x"&amp;DEC2HEX(C10*(2^$C$3)))</f>
        <v>0x8</v>
      </c>
      <c r="E10" s="7" t="s">
        <v>46</v>
      </c>
      <c r="F10" s="7">
        <v>11</v>
      </c>
      <c r="G10" s="7">
        <v>0</v>
      </c>
      <c r="H10" s="11">
        <f>F10-G10+1</f>
        <v>12</v>
      </c>
      <c r="I10" s="7" t="s">
        <v>48</v>
      </c>
      <c r="J10" s="7">
        <v>0</v>
      </c>
      <c r="K10" s="11" t="str">
        <f>"0x"&amp;DEC2HEX(J10)</f>
        <v>0x0</v>
      </c>
      <c r="L10" s="7"/>
    </row>
    <row r="11" spans="2:12">
      <c r="B11" s="7" t="s">
        <v>8</v>
      </c>
      <c r="C11" s="7"/>
      <c r="D11" s="8"/>
      <c r="E11" s="7"/>
      <c r="F11" s="7"/>
      <c r="G11" s="7"/>
      <c r="H11" s="8" t="str">
        <f t="shared" ref="H11:H74" si="0">IF(G11="","","0x"&amp;DEC2HEX(G11*(2^$C$3)))</f>
        <v/>
      </c>
      <c r="I11" s="7"/>
      <c r="J11" s="7"/>
      <c r="K11" s="11" t="str">
        <f t="shared" ref="K11:K74" si="1">"0x"&amp;DEC2HEX(J11)</f>
        <v>0x0</v>
      </c>
      <c r="L11" s="7"/>
    </row>
    <row r="12" spans="2:12">
      <c r="B12" s="7"/>
      <c r="C12" s="7"/>
      <c r="D12" s="8"/>
      <c r="E12" s="7"/>
      <c r="F12" s="7"/>
      <c r="G12" s="7"/>
      <c r="H12" s="8" t="str">
        <f t="shared" si="0"/>
        <v/>
      </c>
      <c r="I12" s="7"/>
      <c r="J12" s="7"/>
      <c r="K12" s="11" t="str">
        <f t="shared" si="1"/>
        <v>0x0</v>
      </c>
      <c r="L12" s="7"/>
    </row>
    <row r="13" spans="2:12">
      <c r="B13" s="7"/>
      <c r="C13" s="7"/>
      <c r="D13" s="8"/>
      <c r="E13" s="7"/>
      <c r="F13" s="7"/>
      <c r="G13" s="7"/>
      <c r="H13" s="8" t="str">
        <f t="shared" si="0"/>
        <v/>
      </c>
      <c r="I13" s="7"/>
      <c r="J13" s="7"/>
      <c r="K13" s="11" t="str">
        <f t="shared" si="1"/>
        <v>0x0</v>
      </c>
      <c r="L13" s="7"/>
    </row>
    <row r="14" spans="2:12">
      <c r="B14" s="7"/>
      <c r="C14" s="7"/>
      <c r="D14" s="8"/>
      <c r="E14" s="7"/>
      <c r="F14" s="7"/>
      <c r="G14" s="7"/>
      <c r="H14" s="8" t="str">
        <f t="shared" si="0"/>
        <v/>
      </c>
      <c r="I14" s="7"/>
      <c r="J14" s="7"/>
      <c r="K14" s="11" t="str">
        <f t="shared" si="1"/>
        <v>0x0</v>
      </c>
      <c r="L14" s="7"/>
    </row>
    <row r="15" spans="2:12">
      <c r="B15" s="7"/>
      <c r="C15" s="7"/>
      <c r="D15" s="8"/>
      <c r="E15" s="7"/>
      <c r="F15" s="7"/>
      <c r="G15" s="7"/>
      <c r="H15" s="8" t="str">
        <f t="shared" si="0"/>
        <v/>
      </c>
      <c r="I15" s="7"/>
      <c r="J15" s="7"/>
      <c r="K15" s="11" t="str">
        <f t="shared" si="1"/>
        <v>0x0</v>
      </c>
      <c r="L15" s="7"/>
    </row>
    <row r="16" spans="2:12">
      <c r="B16" s="7"/>
      <c r="C16" s="7"/>
      <c r="D16" s="8"/>
      <c r="E16" s="7"/>
      <c r="F16" s="7"/>
      <c r="G16" s="7"/>
      <c r="H16" s="8" t="str">
        <f t="shared" si="0"/>
        <v/>
      </c>
      <c r="I16" s="7"/>
      <c r="J16" s="7"/>
      <c r="K16" s="11" t="str">
        <f t="shared" si="1"/>
        <v>0x0</v>
      </c>
      <c r="L16" s="7"/>
    </row>
    <row r="17" spans="2:12">
      <c r="B17" s="7"/>
      <c r="C17" s="7"/>
      <c r="D17" s="8"/>
      <c r="E17" s="7"/>
      <c r="F17" s="7"/>
      <c r="G17" s="7"/>
      <c r="H17" s="8" t="str">
        <f t="shared" si="0"/>
        <v/>
      </c>
      <c r="I17" s="7"/>
      <c r="J17" s="7"/>
      <c r="K17" s="11" t="str">
        <f t="shared" si="1"/>
        <v>0x0</v>
      </c>
      <c r="L17" s="7"/>
    </row>
    <row r="18" spans="2:12">
      <c r="B18" s="7"/>
      <c r="C18" s="7"/>
      <c r="D18" s="8"/>
      <c r="E18" s="7"/>
      <c r="F18" s="7"/>
      <c r="G18" s="7"/>
      <c r="H18" s="8" t="str">
        <f t="shared" si="0"/>
        <v/>
      </c>
      <c r="I18" s="7"/>
      <c r="J18" s="7"/>
      <c r="K18" s="11" t="str">
        <f t="shared" si="1"/>
        <v>0x0</v>
      </c>
      <c r="L18" s="7"/>
    </row>
    <row r="19" spans="2:12">
      <c r="B19" s="7"/>
      <c r="C19" s="7"/>
      <c r="D19" s="8"/>
      <c r="E19" s="7"/>
      <c r="F19" s="7"/>
      <c r="G19" s="7"/>
      <c r="H19" s="8" t="str">
        <f t="shared" si="0"/>
        <v/>
      </c>
      <c r="I19" s="7"/>
      <c r="J19" s="7"/>
      <c r="K19" s="11" t="str">
        <f t="shared" si="1"/>
        <v>0x0</v>
      </c>
      <c r="L19" s="7"/>
    </row>
    <row r="20" spans="2:12">
      <c r="B20" s="7"/>
      <c r="C20" s="7"/>
      <c r="D20" s="8"/>
      <c r="E20" s="7"/>
      <c r="F20" s="7"/>
      <c r="G20" s="7"/>
      <c r="H20" s="8" t="str">
        <f t="shared" si="0"/>
        <v/>
      </c>
      <c r="I20" s="7"/>
      <c r="J20" s="7"/>
      <c r="K20" s="11" t="str">
        <f t="shared" si="1"/>
        <v>0x0</v>
      </c>
      <c r="L20" s="7"/>
    </row>
    <row r="21" spans="2:12">
      <c r="B21" s="7"/>
      <c r="C21" s="7"/>
      <c r="D21" s="8"/>
      <c r="E21" s="7"/>
      <c r="F21" s="7"/>
      <c r="G21" s="7"/>
      <c r="H21" s="8" t="str">
        <f t="shared" si="0"/>
        <v/>
      </c>
      <c r="I21" s="7"/>
      <c r="J21" s="7"/>
      <c r="K21" s="11" t="str">
        <f t="shared" si="1"/>
        <v>0x0</v>
      </c>
      <c r="L21" s="7"/>
    </row>
    <row r="22" spans="2:12">
      <c r="B22" s="7"/>
      <c r="C22" s="7"/>
      <c r="D22" s="8"/>
      <c r="E22" s="7"/>
      <c r="F22" s="7"/>
      <c r="G22" s="7"/>
      <c r="H22" s="8" t="str">
        <f t="shared" si="0"/>
        <v/>
      </c>
      <c r="I22" s="7"/>
      <c r="J22" s="7"/>
      <c r="K22" s="11" t="str">
        <f t="shared" si="1"/>
        <v>0x0</v>
      </c>
      <c r="L22" s="7"/>
    </row>
    <row r="23" spans="2:12">
      <c r="B23" s="7"/>
      <c r="C23" s="7"/>
      <c r="D23" s="8"/>
      <c r="E23" s="7"/>
      <c r="F23" s="7"/>
      <c r="G23" s="7"/>
      <c r="H23" s="8" t="str">
        <f t="shared" si="0"/>
        <v/>
      </c>
      <c r="I23" s="7"/>
      <c r="J23" s="7"/>
      <c r="K23" s="11" t="str">
        <f t="shared" si="1"/>
        <v>0x0</v>
      </c>
      <c r="L23" s="7"/>
    </row>
    <row r="24" spans="2:12">
      <c r="B24" s="7"/>
      <c r="C24" s="7"/>
      <c r="D24" s="8"/>
      <c r="E24" s="7"/>
      <c r="F24" s="7"/>
      <c r="G24" s="7"/>
      <c r="H24" s="8" t="str">
        <f t="shared" si="0"/>
        <v/>
      </c>
      <c r="I24" s="7"/>
      <c r="J24" s="7"/>
      <c r="K24" s="11" t="str">
        <f t="shared" si="1"/>
        <v>0x0</v>
      </c>
      <c r="L24" s="7"/>
    </row>
    <row r="25" spans="2:12">
      <c r="B25" s="7"/>
      <c r="C25" s="7"/>
      <c r="D25" s="8"/>
      <c r="E25" s="7"/>
      <c r="F25" s="7"/>
      <c r="G25" s="7"/>
      <c r="H25" s="8" t="str">
        <f t="shared" si="0"/>
        <v/>
      </c>
      <c r="I25" s="7"/>
      <c r="J25" s="7"/>
      <c r="K25" s="11" t="str">
        <f t="shared" si="1"/>
        <v>0x0</v>
      </c>
      <c r="L25" s="7"/>
    </row>
    <row r="26" spans="2:12">
      <c r="B26" s="7"/>
      <c r="C26" s="7"/>
      <c r="D26" s="8"/>
      <c r="E26" s="7"/>
      <c r="F26" s="7"/>
      <c r="G26" s="7"/>
      <c r="H26" s="8" t="str">
        <f t="shared" si="0"/>
        <v/>
      </c>
      <c r="I26" s="7"/>
      <c r="J26" s="7"/>
      <c r="K26" s="11" t="str">
        <f t="shared" si="1"/>
        <v>0x0</v>
      </c>
      <c r="L26" s="7"/>
    </row>
    <row r="27" spans="2:12">
      <c r="B27" s="7"/>
      <c r="C27" s="7"/>
      <c r="D27" s="8"/>
      <c r="E27" s="7"/>
      <c r="F27" s="7"/>
      <c r="G27" s="7"/>
      <c r="H27" s="8" t="str">
        <f t="shared" si="0"/>
        <v/>
      </c>
      <c r="I27" s="7"/>
      <c r="J27" s="7"/>
      <c r="K27" s="11" t="str">
        <f t="shared" si="1"/>
        <v>0x0</v>
      </c>
      <c r="L27" s="7"/>
    </row>
    <row r="28" spans="2:12">
      <c r="B28" s="7"/>
      <c r="C28" s="7"/>
      <c r="D28" s="8"/>
      <c r="E28" s="7"/>
      <c r="F28" s="7"/>
      <c r="G28" s="7"/>
      <c r="H28" s="8" t="str">
        <f t="shared" si="0"/>
        <v/>
      </c>
      <c r="I28" s="7"/>
      <c r="J28" s="7"/>
      <c r="K28" s="11" t="str">
        <f t="shared" si="1"/>
        <v>0x0</v>
      </c>
      <c r="L28" s="7"/>
    </row>
    <row r="29" spans="2:12">
      <c r="B29" s="7"/>
      <c r="C29" s="7"/>
      <c r="D29" s="8"/>
      <c r="E29" s="7"/>
      <c r="F29" s="7"/>
      <c r="G29" s="7"/>
      <c r="H29" s="8" t="str">
        <f t="shared" si="0"/>
        <v/>
      </c>
      <c r="I29" s="7"/>
      <c r="J29" s="7"/>
      <c r="K29" s="11" t="str">
        <f t="shared" si="1"/>
        <v>0x0</v>
      </c>
      <c r="L29" s="7"/>
    </row>
    <row r="30" spans="2:12">
      <c r="B30" s="7"/>
      <c r="C30" s="7"/>
      <c r="D30" s="8"/>
      <c r="E30" s="7"/>
      <c r="F30" s="7"/>
      <c r="G30" s="7"/>
      <c r="H30" s="8" t="str">
        <f t="shared" si="0"/>
        <v/>
      </c>
      <c r="I30" s="7"/>
      <c r="J30" s="7"/>
      <c r="K30" s="11" t="str">
        <f t="shared" si="1"/>
        <v>0x0</v>
      </c>
      <c r="L30" s="7"/>
    </row>
    <row r="31" spans="2:12">
      <c r="B31" s="7"/>
      <c r="C31" s="7"/>
      <c r="D31" s="8"/>
      <c r="E31" s="7"/>
      <c r="F31" s="7"/>
      <c r="G31" s="7"/>
      <c r="H31" s="8" t="str">
        <f t="shared" si="0"/>
        <v/>
      </c>
      <c r="I31" s="7"/>
      <c r="J31" s="7"/>
      <c r="K31" s="11" t="str">
        <f t="shared" si="1"/>
        <v>0x0</v>
      </c>
      <c r="L31" s="7"/>
    </row>
    <row r="32" spans="2:12">
      <c r="B32" s="7"/>
      <c r="C32" s="7"/>
      <c r="D32" s="8"/>
      <c r="E32" s="7"/>
      <c r="F32" s="7"/>
      <c r="G32" s="7"/>
      <c r="H32" s="8" t="str">
        <f t="shared" si="0"/>
        <v/>
      </c>
      <c r="I32" s="7"/>
      <c r="J32" s="7"/>
      <c r="K32" s="11" t="str">
        <f t="shared" si="1"/>
        <v>0x0</v>
      </c>
      <c r="L32" s="7"/>
    </row>
    <row r="33" spans="2:12">
      <c r="B33" s="7"/>
      <c r="C33" s="7"/>
      <c r="D33" s="8"/>
      <c r="E33" s="7"/>
      <c r="F33" s="7"/>
      <c r="G33" s="7"/>
      <c r="H33" s="8" t="str">
        <f t="shared" si="0"/>
        <v/>
      </c>
      <c r="I33" s="7"/>
      <c r="J33" s="7"/>
      <c r="K33" s="11" t="str">
        <f t="shared" si="1"/>
        <v>0x0</v>
      </c>
      <c r="L33" s="7"/>
    </row>
    <row r="34" spans="2:12">
      <c r="B34" s="7"/>
      <c r="C34" s="7"/>
      <c r="D34" s="8"/>
      <c r="E34" s="7"/>
      <c r="F34" s="7"/>
      <c r="G34" s="7"/>
      <c r="H34" s="8" t="str">
        <f t="shared" si="0"/>
        <v/>
      </c>
      <c r="I34" s="7"/>
      <c r="J34" s="7"/>
      <c r="K34" s="11" t="str">
        <f t="shared" si="1"/>
        <v>0x0</v>
      </c>
      <c r="L34" s="7"/>
    </row>
    <row r="35" spans="2:12">
      <c r="B35" s="7"/>
      <c r="C35" s="7"/>
      <c r="D35" s="8"/>
      <c r="E35" s="7"/>
      <c r="F35" s="7"/>
      <c r="G35" s="7"/>
      <c r="H35" s="8" t="str">
        <f t="shared" si="0"/>
        <v/>
      </c>
      <c r="I35" s="7"/>
      <c r="J35" s="7"/>
      <c r="K35" s="11" t="str">
        <f t="shared" si="1"/>
        <v>0x0</v>
      </c>
      <c r="L35" s="7"/>
    </row>
    <row r="36" spans="2:12">
      <c r="B36" s="7"/>
      <c r="C36" s="7"/>
      <c r="D36" s="8"/>
      <c r="E36" s="7"/>
      <c r="F36" s="7"/>
      <c r="G36" s="7"/>
      <c r="H36" s="8" t="str">
        <f t="shared" si="0"/>
        <v/>
      </c>
      <c r="I36" s="7"/>
      <c r="J36" s="7"/>
      <c r="K36" s="11" t="str">
        <f t="shared" si="1"/>
        <v>0x0</v>
      </c>
      <c r="L36" s="7"/>
    </row>
    <row r="37" spans="2:12">
      <c r="B37" s="7"/>
      <c r="C37" s="7"/>
      <c r="D37" s="8"/>
      <c r="E37" s="7"/>
      <c r="F37" s="7"/>
      <c r="G37" s="7"/>
      <c r="H37" s="8" t="str">
        <f t="shared" si="0"/>
        <v/>
      </c>
      <c r="I37" s="7"/>
      <c r="J37" s="7"/>
      <c r="K37" s="11" t="str">
        <f t="shared" si="1"/>
        <v>0x0</v>
      </c>
      <c r="L37" s="7"/>
    </row>
    <row r="38" spans="2:12">
      <c r="B38" s="7"/>
      <c r="C38" s="7"/>
      <c r="D38" s="8"/>
      <c r="E38" s="7"/>
      <c r="F38" s="7"/>
      <c r="G38" s="7"/>
      <c r="H38" s="8" t="str">
        <f t="shared" si="0"/>
        <v/>
      </c>
      <c r="I38" s="7"/>
      <c r="J38" s="7"/>
      <c r="K38" s="11" t="str">
        <f t="shared" si="1"/>
        <v>0x0</v>
      </c>
      <c r="L38" s="7"/>
    </row>
    <row r="39" spans="2:12">
      <c r="B39" s="7"/>
      <c r="C39" s="7"/>
      <c r="D39" s="8"/>
      <c r="E39" s="7"/>
      <c r="F39" s="7"/>
      <c r="G39" s="7"/>
      <c r="H39" s="8" t="str">
        <f t="shared" si="0"/>
        <v/>
      </c>
      <c r="I39" s="7"/>
      <c r="J39" s="7"/>
      <c r="K39" s="11" t="str">
        <f t="shared" si="1"/>
        <v>0x0</v>
      </c>
      <c r="L39" s="7"/>
    </row>
    <row r="40" spans="2:12">
      <c r="B40" s="7"/>
      <c r="C40" s="7"/>
      <c r="D40" s="8"/>
      <c r="E40" s="7"/>
      <c r="F40" s="7"/>
      <c r="G40" s="7"/>
      <c r="H40" s="8" t="str">
        <f t="shared" si="0"/>
        <v/>
      </c>
      <c r="I40" s="7"/>
      <c r="J40" s="7"/>
      <c r="K40" s="11" t="str">
        <f t="shared" si="1"/>
        <v>0x0</v>
      </c>
      <c r="L40" s="7"/>
    </row>
    <row r="41" spans="2:12">
      <c r="B41" s="7"/>
      <c r="C41" s="7"/>
      <c r="D41" s="8"/>
      <c r="E41" s="7"/>
      <c r="F41" s="7"/>
      <c r="G41" s="7"/>
      <c r="H41" s="8" t="str">
        <f t="shared" si="0"/>
        <v/>
      </c>
      <c r="I41" s="7"/>
      <c r="J41" s="7"/>
      <c r="K41" s="11" t="str">
        <f t="shared" si="1"/>
        <v>0x0</v>
      </c>
      <c r="L41" s="7"/>
    </row>
    <row r="42" spans="2:12">
      <c r="B42" s="7"/>
      <c r="C42" s="7"/>
      <c r="D42" s="8"/>
      <c r="E42" s="7"/>
      <c r="F42" s="7"/>
      <c r="G42" s="7"/>
      <c r="H42" s="8" t="str">
        <f t="shared" si="0"/>
        <v/>
      </c>
      <c r="I42" s="7"/>
      <c r="J42" s="7"/>
      <c r="K42" s="11" t="str">
        <f t="shared" si="1"/>
        <v>0x0</v>
      </c>
      <c r="L42" s="7"/>
    </row>
    <row r="43" spans="2:12">
      <c r="B43" s="7"/>
      <c r="C43" s="7"/>
      <c r="D43" s="8"/>
      <c r="E43" s="7"/>
      <c r="F43" s="7"/>
      <c r="G43" s="7"/>
      <c r="H43" s="8" t="str">
        <f t="shared" si="0"/>
        <v/>
      </c>
      <c r="I43" s="7"/>
      <c r="J43" s="7"/>
      <c r="K43" s="11" t="str">
        <f t="shared" si="1"/>
        <v>0x0</v>
      </c>
      <c r="L43" s="7"/>
    </row>
    <row r="44" spans="2:12">
      <c r="B44" s="7"/>
      <c r="C44" s="7"/>
      <c r="D44" s="8"/>
      <c r="E44" s="7"/>
      <c r="F44" s="7"/>
      <c r="G44" s="7"/>
      <c r="H44" s="8" t="str">
        <f t="shared" si="0"/>
        <v/>
      </c>
      <c r="I44" s="7"/>
      <c r="J44" s="7"/>
      <c r="K44" s="11" t="str">
        <f t="shared" si="1"/>
        <v>0x0</v>
      </c>
      <c r="L44" s="7"/>
    </row>
    <row r="45" spans="2:12">
      <c r="B45" s="7"/>
      <c r="C45" s="7"/>
      <c r="D45" s="8"/>
      <c r="E45" s="7"/>
      <c r="F45" s="7"/>
      <c r="G45" s="7"/>
      <c r="H45" s="8" t="str">
        <f t="shared" si="0"/>
        <v/>
      </c>
      <c r="I45" s="7"/>
      <c r="J45" s="7"/>
      <c r="K45" s="11" t="str">
        <f t="shared" si="1"/>
        <v>0x0</v>
      </c>
      <c r="L45" s="7"/>
    </row>
    <row r="46" spans="2:12">
      <c r="B46" s="7"/>
      <c r="C46" s="7"/>
      <c r="D46" s="8"/>
      <c r="E46" s="7"/>
      <c r="F46" s="7"/>
      <c r="G46" s="7"/>
      <c r="H46" s="8" t="str">
        <f t="shared" si="0"/>
        <v/>
      </c>
      <c r="I46" s="7"/>
      <c r="J46" s="7"/>
      <c r="K46" s="11" t="str">
        <f t="shared" si="1"/>
        <v>0x0</v>
      </c>
      <c r="L46" s="7"/>
    </row>
    <row r="47" spans="2:12">
      <c r="B47" s="7"/>
      <c r="C47" s="7"/>
      <c r="D47" s="8"/>
      <c r="E47" s="7"/>
      <c r="F47" s="7"/>
      <c r="G47" s="7"/>
      <c r="H47" s="8" t="str">
        <f t="shared" si="0"/>
        <v/>
      </c>
      <c r="I47" s="7"/>
      <c r="J47" s="7"/>
      <c r="K47" s="11" t="str">
        <f t="shared" si="1"/>
        <v>0x0</v>
      </c>
      <c r="L47" s="7"/>
    </row>
    <row r="48" spans="2:12">
      <c r="B48" s="7"/>
      <c r="C48" s="7"/>
      <c r="D48" s="8"/>
      <c r="E48" s="7"/>
      <c r="F48" s="7"/>
      <c r="G48" s="7"/>
      <c r="H48" s="8" t="str">
        <f t="shared" si="0"/>
        <v/>
      </c>
      <c r="I48" s="7"/>
      <c r="J48" s="7"/>
      <c r="K48" s="11" t="str">
        <f t="shared" si="1"/>
        <v>0x0</v>
      </c>
      <c r="L48" s="7"/>
    </row>
    <row r="49" spans="2:12">
      <c r="B49" s="7"/>
      <c r="C49" s="7"/>
      <c r="D49" s="8"/>
      <c r="E49" s="7"/>
      <c r="F49" s="7"/>
      <c r="G49" s="7"/>
      <c r="H49" s="8" t="str">
        <f t="shared" si="0"/>
        <v/>
      </c>
      <c r="I49" s="7"/>
      <c r="J49" s="7"/>
      <c r="K49" s="11" t="str">
        <f t="shared" si="1"/>
        <v>0x0</v>
      </c>
      <c r="L49" s="7"/>
    </row>
    <row r="50" spans="2:12">
      <c r="B50" s="7"/>
      <c r="C50" s="7"/>
      <c r="D50" s="8"/>
      <c r="E50" s="7"/>
      <c r="F50" s="7"/>
      <c r="G50" s="7"/>
      <c r="H50" s="8" t="str">
        <f t="shared" si="0"/>
        <v/>
      </c>
      <c r="I50" s="7"/>
      <c r="J50" s="7"/>
      <c r="K50" s="11" t="str">
        <f t="shared" si="1"/>
        <v>0x0</v>
      </c>
      <c r="L50" s="7"/>
    </row>
    <row r="51" spans="2:12">
      <c r="B51" s="7"/>
      <c r="C51" s="7"/>
      <c r="D51" s="8"/>
      <c r="E51" s="7"/>
      <c r="F51" s="7"/>
      <c r="G51" s="7"/>
      <c r="H51" s="8" t="str">
        <f t="shared" si="0"/>
        <v/>
      </c>
      <c r="I51" s="7"/>
      <c r="J51" s="7"/>
      <c r="K51" s="11" t="str">
        <f t="shared" si="1"/>
        <v>0x0</v>
      </c>
      <c r="L51" s="7"/>
    </row>
    <row r="52" spans="2:12">
      <c r="B52" s="7"/>
      <c r="C52" s="7"/>
      <c r="D52" s="8"/>
      <c r="E52" s="7"/>
      <c r="F52" s="7"/>
      <c r="G52" s="7"/>
      <c r="H52" s="8" t="str">
        <f t="shared" si="0"/>
        <v/>
      </c>
      <c r="I52" s="7"/>
      <c r="J52" s="7"/>
      <c r="K52" s="11" t="str">
        <f t="shared" si="1"/>
        <v>0x0</v>
      </c>
      <c r="L52" s="7"/>
    </row>
    <row r="53" spans="2:12">
      <c r="B53" s="7"/>
      <c r="C53" s="7"/>
      <c r="D53" s="8"/>
      <c r="E53" s="7"/>
      <c r="F53" s="7"/>
      <c r="G53" s="7"/>
      <c r="H53" s="8" t="str">
        <f t="shared" si="0"/>
        <v/>
      </c>
      <c r="I53" s="7"/>
      <c r="J53" s="7"/>
      <c r="K53" s="11" t="str">
        <f t="shared" si="1"/>
        <v>0x0</v>
      </c>
      <c r="L53" s="7"/>
    </row>
    <row r="54" spans="2:12">
      <c r="B54" s="7"/>
      <c r="C54" s="7"/>
      <c r="D54" s="8"/>
      <c r="E54" s="7"/>
      <c r="F54" s="7"/>
      <c r="G54" s="7"/>
      <c r="H54" s="8" t="str">
        <f t="shared" si="0"/>
        <v/>
      </c>
      <c r="I54" s="7"/>
      <c r="J54" s="7"/>
      <c r="K54" s="11" t="str">
        <f t="shared" si="1"/>
        <v>0x0</v>
      </c>
      <c r="L54" s="7"/>
    </row>
    <row r="55" spans="2:12">
      <c r="B55" s="7"/>
      <c r="C55" s="7"/>
      <c r="D55" s="8"/>
      <c r="E55" s="7"/>
      <c r="F55" s="7"/>
      <c r="G55" s="7"/>
      <c r="H55" s="8" t="str">
        <f t="shared" si="0"/>
        <v/>
      </c>
      <c r="I55" s="7"/>
      <c r="J55" s="7"/>
      <c r="K55" s="11" t="str">
        <f t="shared" si="1"/>
        <v>0x0</v>
      </c>
      <c r="L55" s="7"/>
    </row>
    <row r="56" spans="2:12">
      <c r="B56" s="7"/>
      <c r="C56" s="7"/>
      <c r="D56" s="8"/>
      <c r="E56" s="7"/>
      <c r="F56" s="7"/>
      <c r="G56" s="7"/>
      <c r="H56" s="8" t="str">
        <f t="shared" si="0"/>
        <v/>
      </c>
      <c r="I56" s="7"/>
      <c r="J56" s="7"/>
      <c r="K56" s="11" t="str">
        <f t="shared" si="1"/>
        <v>0x0</v>
      </c>
      <c r="L56" s="7"/>
    </row>
    <row r="57" spans="2:12">
      <c r="B57" s="7"/>
      <c r="C57" s="7"/>
      <c r="D57" s="8"/>
      <c r="E57" s="7"/>
      <c r="F57" s="7"/>
      <c r="G57" s="7"/>
      <c r="H57" s="8" t="str">
        <f t="shared" si="0"/>
        <v/>
      </c>
      <c r="I57" s="7"/>
      <c r="J57" s="7"/>
      <c r="K57" s="11" t="str">
        <f t="shared" si="1"/>
        <v>0x0</v>
      </c>
      <c r="L57" s="7"/>
    </row>
    <row r="58" spans="2:12">
      <c r="B58" s="7"/>
      <c r="C58" s="7"/>
      <c r="D58" s="8"/>
      <c r="E58" s="7"/>
      <c r="F58" s="7"/>
      <c r="G58" s="7"/>
      <c r="H58" s="8" t="str">
        <f t="shared" si="0"/>
        <v/>
      </c>
      <c r="I58" s="7"/>
      <c r="J58" s="7"/>
      <c r="K58" s="11" t="str">
        <f t="shared" si="1"/>
        <v>0x0</v>
      </c>
      <c r="L58" s="7"/>
    </row>
    <row r="59" spans="2:12">
      <c r="B59" s="7"/>
      <c r="C59" s="7"/>
      <c r="D59" s="8"/>
      <c r="E59" s="7"/>
      <c r="F59" s="7"/>
      <c r="G59" s="7"/>
      <c r="H59" s="8" t="str">
        <f t="shared" si="0"/>
        <v/>
      </c>
      <c r="I59" s="7"/>
      <c r="J59" s="7"/>
      <c r="K59" s="11" t="str">
        <f t="shared" si="1"/>
        <v>0x0</v>
      </c>
      <c r="L59" s="7"/>
    </row>
    <row r="60" spans="2:12">
      <c r="B60" s="7"/>
      <c r="C60" s="7"/>
      <c r="D60" s="8"/>
      <c r="E60" s="7"/>
      <c r="F60" s="7"/>
      <c r="G60" s="7"/>
      <c r="H60" s="8" t="str">
        <f t="shared" si="0"/>
        <v/>
      </c>
      <c r="I60" s="7"/>
      <c r="J60" s="7"/>
      <c r="K60" s="11" t="str">
        <f t="shared" si="1"/>
        <v>0x0</v>
      </c>
      <c r="L60" s="7"/>
    </row>
    <row r="61" spans="2:12">
      <c r="B61" s="7"/>
      <c r="C61" s="7"/>
      <c r="D61" s="8"/>
      <c r="E61" s="7"/>
      <c r="F61" s="7"/>
      <c r="G61" s="7"/>
      <c r="H61" s="8" t="str">
        <f t="shared" si="0"/>
        <v/>
      </c>
      <c r="I61" s="7"/>
      <c r="J61" s="7"/>
      <c r="K61" s="11" t="str">
        <f t="shared" si="1"/>
        <v>0x0</v>
      </c>
      <c r="L61" s="7"/>
    </row>
    <row r="62" spans="2:12">
      <c r="B62" s="7"/>
      <c r="C62" s="7"/>
      <c r="D62" s="8"/>
      <c r="E62" s="7"/>
      <c r="F62" s="7"/>
      <c r="G62" s="7"/>
      <c r="H62" s="8" t="str">
        <f t="shared" si="0"/>
        <v/>
      </c>
      <c r="I62" s="7"/>
      <c r="J62" s="7"/>
      <c r="K62" s="11" t="str">
        <f t="shared" si="1"/>
        <v>0x0</v>
      </c>
      <c r="L62" s="7"/>
    </row>
    <row r="63" spans="2:12">
      <c r="B63" s="7"/>
      <c r="C63" s="7"/>
      <c r="D63" s="8"/>
      <c r="E63" s="7"/>
      <c r="F63" s="7"/>
      <c r="G63" s="7"/>
      <c r="H63" s="8" t="str">
        <f t="shared" si="0"/>
        <v/>
      </c>
      <c r="I63" s="7"/>
      <c r="J63" s="7"/>
      <c r="K63" s="11" t="str">
        <f t="shared" si="1"/>
        <v>0x0</v>
      </c>
      <c r="L63" s="7"/>
    </row>
    <row r="64" spans="2:12">
      <c r="B64" s="7"/>
      <c r="C64" s="7"/>
      <c r="D64" s="8"/>
      <c r="E64" s="7"/>
      <c r="F64" s="7"/>
      <c r="G64" s="7"/>
      <c r="H64" s="8" t="str">
        <f t="shared" si="0"/>
        <v/>
      </c>
      <c r="I64" s="7"/>
      <c r="J64" s="7"/>
      <c r="K64" s="11" t="str">
        <f t="shared" si="1"/>
        <v>0x0</v>
      </c>
      <c r="L64" s="7"/>
    </row>
    <row r="65" spans="2:12">
      <c r="B65" s="7"/>
      <c r="C65" s="7"/>
      <c r="D65" s="8"/>
      <c r="E65" s="7"/>
      <c r="F65" s="7"/>
      <c r="G65" s="7"/>
      <c r="H65" s="8" t="str">
        <f t="shared" si="0"/>
        <v/>
      </c>
      <c r="I65" s="7"/>
      <c r="J65" s="7"/>
      <c r="K65" s="11" t="str">
        <f t="shared" si="1"/>
        <v>0x0</v>
      </c>
      <c r="L65" s="7"/>
    </row>
    <row r="66" spans="2:12">
      <c r="B66" s="7"/>
      <c r="C66" s="7"/>
      <c r="D66" s="8"/>
      <c r="E66" s="7"/>
      <c r="F66" s="7"/>
      <c r="G66" s="7"/>
      <c r="H66" s="8" t="str">
        <f t="shared" si="0"/>
        <v/>
      </c>
      <c r="I66" s="7"/>
      <c r="J66" s="7"/>
      <c r="K66" s="11" t="str">
        <f t="shared" si="1"/>
        <v>0x0</v>
      </c>
      <c r="L66" s="7"/>
    </row>
    <row r="67" spans="2:12">
      <c r="B67" s="7"/>
      <c r="C67" s="7"/>
      <c r="D67" s="8"/>
      <c r="E67" s="7"/>
      <c r="F67" s="7"/>
      <c r="G67" s="7"/>
      <c r="H67" s="8" t="str">
        <f t="shared" si="0"/>
        <v/>
      </c>
      <c r="I67" s="7"/>
      <c r="J67" s="7"/>
      <c r="K67" s="11" t="str">
        <f t="shared" si="1"/>
        <v>0x0</v>
      </c>
      <c r="L67" s="7"/>
    </row>
    <row r="68" spans="2:12">
      <c r="B68" s="7"/>
      <c r="C68" s="7"/>
      <c r="D68" s="8"/>
      <c r="E68" s="7"/>
      <c r="F68" s="7"/>
      <c r="G68" s="7"/>
      <c r="H68" s="8" t="str">
        <f t="shared" si="0"/>
        <v/>
      </c>
      <c r="I68" s="7"/>
      <c r="J68" s="7"/>
      <c r="K68" s="11" t="str">
        <f t="shared" si="1"/>
        <v>0x0</v>
      </c>
      <c r="L68" s="7"/>
    </row>
    <row r="69" spans="2:12">
      <c r="B69" s="7"/>
      <c r="C69" s="7"/>
      <c r="D69" s="8"/>
      <c r="E69" s="7"/>
      <c r="F69" s="7"/>
      <c r="G69" s="7"/>
      <c r="H69" s="8" t="str">
        <f t="shared" si="0"/>
        <v/>
      </c>
      <c r="I69" s="7"/>
      <c r="J69" s="7"/>
      <c r="K69" s="11" t="str">
        <f t="shared" si="1"/>
        <v>0x0</v>
      </c>
      <c r="L69" s="7"/>
    </row>
    <row r="70" spans="2:12">
      <c r="B70" s="7"/>
      <c r="C70" s="7"/>
      <c r="D70" s="8"/>
      <c r="E70" s="7"/>
      <c r="F70" s="7"/>
      <c r="G70" s="7"/>
      <c r="H70" s="8" t="str">
        <f t="shared" si="0"/>
        <v/>
      </c>
      <c r="I70" s="7"/>
      <c r="J70" s="7"/>
      <c r="K70" s="11" t="str">
        <f t="shared" si="1"/>
        <v>0x0</v>
      </c>
      <c r="L70" s="7"/>
    </row>
    <row r="71" spans="2:12">
      <c r="B71" s="7"/>
      <c r="C71" s="7"/>
      <c r="D71" s="8"/>
      <c r="E71" s="7"/>
      <c r="F71" s="7"/>
      <c r="G71" s="7"/>
      <c r="H71" s="8" t="str">
        <f t="shared" si="0"/>
        <v/>
      </c>
      <c r="I71" s="7"/>
      <c r="J71" s="7"/>
      <c r="K71" s="11" t="str">
        <f t="shared" si="1"/>
        <v>0x0</v>
      </c>
      <c r="L71" s="7"/>
    </row>
    <row r="72" spans="2:12">
      <c r="B72" s="7"/>
      <c r="C72" s="7"/>
      <c r="D72" s="8"/>
      <c r="E72" s="7"/>
      <c r="F72" s="7"/>
      <c r="G72" s="7"/>
      <c r="H72" s="8" t="str">
        <f t="shared" si="0"/>
        <v/>
      </c>
      <c r="I72" s="7"/>
      <c r="J72" s="7"/>
      <c r="K72" s="11" t="str">
        <f t="shared" si="1"/>
        <v>0x0</v>
      </c>
      <c r="L72" s="7"/>
    </row>
    <row r="73" spans="2:12">
      <c r="B73" s="7"/>
      <c r="C73" s="7"/>
      <c r="D73" s="8"/>
      <c r="E73" s="7"/>
      <c r="F73" s="7"/>
      <c r="G73" s="7"/>
      <c r="H73" s="8" t="str">
        <f t="shared" si="0"/>
        <v/>
      </c>
      <c r="I73" s="7"/>
      <c r="J73" s="7"/>
      <c r="K73" s="11" t="str">
        <f t="shared" si="1"/>
        <v>0x0</v>
      </c>
      <c r="L73" s="7"/>
    </row>
    <row r="74" spans="2:12">
      <c r="B74" s="7"/>
      <c r="C74" s="7"/>
      <c r="D74" s="8"/>
      <c r="E74" s="7"/>
      <c r="F74" s="7"/>
      <c r="G74" s="7"/>
      <c r="H74" s="8" t="str">
        <f t="shared" si="0"/>
        <v/>
      </c>
      <c r="I74" s="7"/>
      <c r="J74" s="7"/>
      <c r="K74" s="11" t="str">
        <f t="shared" si="1"/>
        <v>0x0</v>
      </c>
      <c r="L74" s="7"/>
    </row>
    <row r="75" spans="2:12">
      <c r="B75" s="7"/>
      <c r="C75" s="7"/>
      <c r="D75" s="8"/>
      <c r="E75" s="7"/>
      <c r="F75" s="7"/>
      <c r="G75" s="7"/>
      <c r="H75" s="8" t="str">
        <f t="shared" ref="H75:H133" si="2">IF(G75="","","0x"&amp;DEC2HEX(G75*(2^$C$3)))</f>
        <v/>
      </c>
      <c r="I75" s="7"/>
      <c r="J75" s="7"/>
      <c r="K75" s="11" t="str">
        <f t="shared" ref="K75:K133" si="3">"0x"&amp;DEC2HEX(J75)</f>
        <v>0x0</v>
      </c>
      <c r="L75" s="7"/>
    </row>
    <row r="76" spans="2:12">
      <c r="B76" s="7"/>
      <c r="C76" s="7"/>
      <c r="D76" s="8"/>
      <c r="E76" s="7"/>
      <c r="F76" s="7"/>
      <c r="G76" s="7"/>
      <c r="H76" s="8" t="str">
        <f t="shared" si="2"/>
        <v/>
      </c>
      <c r="I76" s="7"/>
      <c r="J76" s="7"/>
      <c r="K76" s="11" t="str">
        <f t="shared" si="3"/>
        <v>0x0</v>
      </c>
      <c r="L76" s="7"/>
    </row>
    <row r="77" spans="2:12">
      <c r="B77" s="7"/>
      <c r="C77" s="7"/>
      <c r="D77" s="8"/>
      <c r="E77" s="7"/>
      <c r="F77" s="7"/>
      <c r="G77" s="7"/>
      <c r="H77" s="8" t="str">
        <f t="shared" si="2"/>
        <v/>
      </c>
      <c r="I77" s="7"/>
      <c r="J77" s="7"/>
      <c r="K77" s="11" t="str">
        <f t="shared" si="3"/>
        <v>0x0</v>
      </c>
      <c r="L77" s="7"/>
    </row>
    <row r="78" spans="2:12">
      <c r="B78" s="7"/>
      <c r="C78" s="7"/>
      <c r="D78" s="8"/>
      <c r="E78" s="7"/>
      <c r="F78" s="7"/>
      <c r="G78" s="7"/>
      <c r="H78" s="8" t="str">
        <f t="shared" si="2"/>
        <v/>
      </c>
      <c r="I78" s="7"/>
      <c r="J78" s="7"/>
      <c r="K78" s="11" t="str">
        <f t="shared" si="3"/>
        <v>0x0</v>
      </c>
      <c r="L78" s="7"/>
    </row>
    <row r="79" spans="2:12">
      <c r="B79" s="7"/>
      <c r="C79" s="7"/>
      <c r="D79" s="8"/>
      <c r="E79" s="7"/>
      <c r="F79" s="7"/>
      <c r="G79" s="7"/>
      <c r="H79" s="8" t="str">
        <f t="shared" si="2"/>
        <v/>
      </c>
      <c r="I79" s="7"/>
      <c r="J79" s="7"/>
      <c r="K79" s="11" t="str">
        <f t="shared" si="3"/>
        <v>0x0</v>
      </c>
      <c r="L79" s="7"/>
    </row>
    <row r="80" spans="2:12">
      <c r="B80" s="7"/>
      <c r="C80" s="7"/>
      <c r="D80" s="8"/>
      <c r="E80" s="7"/>
      <c r="F80" s="7"/>
      <c r="G80" s="7"/>
      <c r="H80" s="8" t="str">
        <f t="shared" si="2"/>
        <v/>
      </c>
      <c r="I80" s="7"/>
      <c r="J80" s="7"/>
      <c r="K80" s="11" t="str">
        <f t="shared" si="3"/>
        <v>0x0</v>
      </c>
      <c r="L80" s="7"/>
    </row>
    <row r="81" spans="2:12">
      <c r="B81" s="7"/>
      <c r="C81" s="7"/>
      <c r="D81" s="8"/>
      <c r="E81" s="7"/>
      <c r="F81" s="7"/>
      <c r="G81" s="7"/>
      <c r="H81" s="8" t="str">
        <f t="shared" si="2"/>
        <v/>
      </c>
      <c r="I81" s="7"/>
      <c r="J81" s="7"/>
      <c r="K81" s="11" t="str">
        <f t="shared" si="3"/>
        <v>0x0</v>
      </c>
      <c r="L81" s="7"/>
    </row>
    <row r="82" spans="2:12">
      <c r="B82" s="7"/>
      <c r="C82" s="7"/>
      <c r="D82" s="8"/>
      <c r="E82" s="7"/>
      <c r="F82" s="7"/>
      <c r="G82" s="7"/>
      <c r="H82" s="8" t="str">
        <f t="shared" si="2"/>
        <v/>
      </c>
      <c r="I82" s="7"/>
      <c r="J82" s="7"/>
      <c r="K82" s="11" t="str">
        <f t="shared" si="3"/>
        <v>0x0</v>
      </c>
      <c r="L82" s="7"/>
    </row>
    <row r="83" spans="2:12">
      <c r="B83" s="7"/>
      <c r="C83" s="7"/>
      <c r="D83" s="8"/>
      <c r="E83" s="7"/>
      <c r="F83" s="7"/>
      <c r="G83" s="7"/>
      <c r="H83" s="8" t="str">
        <f t="shared" si="2"/>
        <v/>
      </c>
      <c r="I83" s="7"/>
      <c r="J83" s="7"/>
      <c r="K83" s="11" t="str">
        <f t="shared" si="3"/>
        <v>0x0</v>
      </c>
      <c r="L83" s="7"/>
    </row>
    <row r="84" spans="2:12">
      <c r="B84" s="7"/>
      <c r="C84" s="7"/>
      <c r="D84" s="8"/>
      <c r="E84" s="7"/>
      <c r="F84" s="7"/>
      <c r="G84" s="7"/>
      <c r="H84" s="8" t="str">
        <f t="shared" si="2"/>
        <v/>
      </c>
      <c r="I84" s="7"/>
      <c r="J84" s="7"/>
      <c r="K84" s="11" t="str">
        <f t="shared" si="3"/>
        <v>0x0</v>
      </c>
      <c r="L84" s="7"/>
    </row>
    <row r="85" spans="2:12">
      <c r="B85" s="7"/>
      <c r="C85" s="7"/>
      <c r="D85" s="8"/>
      <c r="E85" s="7"/>
      <c r="F85" s="7"/>
      <c r="G85" s="7"/>
      <c r="H85" s="8" t="str">
        <f t="shared" si="2"/>
        <v/>
      </c>
      <c r="I85" s="7"/>
      <c r="J85" s="7"/>
      <c r="K85" s="11" t="str">
        <f t="shared" si="3"/>
        <v>0x0</v>
      </c>
      <c r="L85" s="7"/>
    </row>
    <row r="86" spans="2:12">
      <c r="B86" s="7"/>
      <c r="C86" s="7"/>
      <c r="D86" s="8"/>
      <c r="E86" s="7"/>
      <c r="F86" s="7"/>
      <c r="G86" s="7"/>
      <c r="H86" s="8" t="str">
        <f t="shared" si="2"/>
        <v/>
      </c>
      <c r="I86" s="7"/>
      <c r="J86" s="7"/>
      <c r="K86" s="11" t="str">
        <f t="shared" si="3"/>
        <v>0x0</v>
      </c>
      <c r="L86" s="7"/>
    </row>
    <row r="87" spans="2:12">
      <c r="B87" s="7"/>
      <c r="C87" s="7"/>
      <c r="D87" s="8"/>
      <c r="E87" s="7"/>
      <c r="F87" s="7"/>
      <c r="G87" s="7"/>
      <c r="H87" s="8" t="str">
        <f t="shared" si="2"/>
        <v/>
      </c>
      <c r="I87" s="7"/>
      <c r="J87" s="7"/>
      <c r="K87" s="11" t="str">
        <f t="shared" si="3"/>
        <v>0x0</v>
      </c>
      <c r="L87" s="7"/>
    </row>
    <row r="88" spans="2:12">
      <c r="B88" s="7"/>
      <c r="C88" s="7"/>
      <c r="D88" s="8"/>
      <c r="E88" s="7"/>
      <c r="F88" s="7"/>
      <c r="G88" s="7"/>
      <c r="H88" s="8" t="str">
        <f t="shared" si="2"/>
        <v/>
      </c>
      <c r="I88" s="7"/>
      <c r="J88" s="7"/>
      <c r="K88" s="11" t="str">
        <f t="shared" si="3"/>
        <v>0x0</v>
      </c>
      <c r="L88" s="7"/>
    </row>
    <row r="89" spans="2:12">
      <c r="B89" s="7"/>
      <c r="C89" s="7"/>
      <c r="D89" s="8"/>
      <c r="E89" s="7"/>
      <c r="F89" s="7"/>
      <c r="G89" s="7"/>
      <c r="H89" s="8" t="str">
        <f t="shared" si="2"/>
        <v/>
      </c>
      <c r="I89" s="7"/>
      <c r="J89" s="7"/>
      <c r="K89" s="11" t="str">
        <f t="shared" si="3"/>
        <v>0x0</v>
      </c>
      <c r="L89" s="7"/>
    </row>
    <row r="90" spans="2:12">
      <c r="B90" s="7"/>
      <c r="C90" s="7"/>
      <c r="D90" s="8"/>
      <c r="E90" s="7"/>
      <c r="F90" s="7"/>
      <c r="G90" s="7"/>
      <c r="H90" s="8" t="str">
        <f t="shared" si="2"/>
        <v/>
      </c>
      <c r="I90" s="7"/>
      <c r="J90" s="7"/>
      <c r="K90" s="11" t="str">
        <f t="shared" si="3"/>
        <v>0x0</v>
      </c>
      <c r="L90" s="7"/>
    </row>
    <row r="91" spans="2:12">
      <c r="B91" s="7"/>
      <c r="C91" s="7"/>
      <c r="D91" s="8"/>
      <c r="E91" s="7"/>
      <c r="F91" s="7"/>
      <c r="G91" s="7"/>
      <c r="H91" s="8" t="str">
        <f t="shared" si="2"/>
        <v/>
      </c>
      <c r="I91" s="7"/>
      <c r="J91" s="7"/>
      <c r="K91" s="11" t="str">
        <f t="shared" si="3"/>
        <v>0x0</v>
      </c>
      <c r="L91" s="7"/>
    </row>
    <row r="92" spans="2:12">
      <c r="B92" s="7"/>
      <c r="C92" s="7"/>
      <c r="D92" s="8"/>
      <c r="E92" s="7"/>
      <c r="F92" s="7"/>
      <c r="G92" s="7"/>
      <c r="H92" s="8" t="str">
        <f t="shared" si="2"/>
        <v/>
      </c>
      <c r="I92" s="7"/>
      <c r="J92" s="7"/>
      <c r="K92" s="11" t="str">
        <f t="shared" si="3"/>
        <v>0x0</v>
      </c>
      <c r="L92" s="7"/>
    </row>
    <row r="93" spans="2:12">
      <c r="B93" s="7"/>
      <c r="C93" s="7"/>
      <c r="D93" s="8"/>
      <c r="E93" s="7"/>
      <c r="F93" s="7"/>
      <c r="G93" s="7"/>
      <c r="H93" s="8" t="str">
        <f t="shared" si="2"/>
        <v/>
      </c>
      <c r="I93" s="7"/>
      <c r="J93" s="7"/>
      <c r="K93" s="11" t="str">
        <f t="shared" si="3"/>
        <v>0x0</v>
      </c>
      <c r="L93" s="7"/>
    </row>
    <row r="94" spans="2:12">
      <c r="B94" s="7"/>
      <c r="C94" s="7"/>
      <c r="D94" s="8"/>
      <c r="E94" s="7"/>
      <c r="F94" s="7"/>
      <c r="G94" s="7"/>
      <c r="H94" s="8" t="str">
        <f t="shared" si="2"/>
        <v/>
      </c>
      <c r="I94" s="7"/>
      <c r="J94" s="7"/>
      <c r="K94" s="11" t="str">
        <f t="shared" si="3"/>
        <v>0x0</v>
      </c>
      <c r="L94" s="7"/>
    </row>
    <row r="95" spans="2:12">
      <c r="B95" s="7"/>
      <c r="C95" s="7"/>
      <c r="D95" s="8"/>
      <c r="E95" s="7"/>
      <c r="F95" s="7"/>
      <c r="G95" s="7"/>
      <c r="H95" s="8" t="str">
        <f t="shared" si="2"/>
        <v/>
      </c>
      <c r="I95" s="7"/>
      <c r="J95" s="7"/>
      <c r="K95" s="11" t="str">
        <f t="shared" si="3"/>
        <v>0x0</v>
      </c>
      <c r="L95" s="7"/>
    </row>
    <row r="96" spans="2:12">
      <c r="B96" s="7"/>
      <c r="C96" s="7"/>
      <c r="D96" s="8"/>
      <c r="E96" s="7"/>
      <c r="F96" s="7"/>
      <c r="G96" s="7"/>
      <c r="H96" s="8" t="str">
        <f t="shared" si="2"/>
        <v/>
      </c>
      <c r="I96" s="7"/>
      <c r="J96" s="7"/>
      <c r="K96" s="11" t="str">
        <f t="shared" si="3"/>
        <v>0x0</v>
      </c>
      <c r="L96" s="7"/>
    </row>
    <row r="97" spans="2:12">
      <c r="B97" s="7"/>
      <c r="C97" s="7"/>
      <c r="D97" s="8"/>
      <c r="E97" s="7"/>
      <c r="F97" s="7"/>
      <c r="G97" s="7"/>
      <c r="H97" s="8" t="str">
        <f t="shared" si="2"/>
        <v/>
      </c>
      <c r="I97" s="7"/>
      <c r="J97" s="7"/>
      <c r="K97" s="11" t="str">
        <f t="shared" si="3"/>
        <v>0x0</v>
      </c>
      <c r="L97" s="7"/>
    </row>
    <row r="98" spans="2:12">
      <c r="B98" s="7"/>
      <c r="C98" s="7"/>
      <c r="D98" s="8"/>
      <c r="E98" s="7"/>
      <c r="F98" s="7"/>
      <c r="G98" s="7"/>
      <c r="H98" s="8" t="str">
        <f t="shared" si="2"/>
        <v/>
      </c>
      <c r="I98" s="7"/>
      <c r="J98" s="7"/>
      <c r="K98" s="11" t="str">
        <f t="shared" si="3"/>
        <v>0x0</v>
      </c>
      <c r="L98" s="7"/>
    </row>
    <row r="99" spans="2:12">
      <c r="B99" s="7"/>
      <c r="C99" s="7"/>
      <c r="D99" s="8"/>
      <c r="E99" s="7"/>
      <c r="F99" s="7"/>
      <c r="G99" s="7"/>
      <c r="H99" s="8" t="str">
        <f t="shared" si="2"/>
        <v/>
      </c>
      <c r="I99" s="7"/>
      <c r="J99" s="7"/>
      <c r="K99" s="11" t="str">
        <f t="shared" si="3"/>
        <v>0x0</v>
      </c>
      <c r="L99" s="7"/>
    </row>
    <row r="100" spans="2:12">
      <c r="B100" s="7"/>
      <c r="C100" s="7"/>
      <c r="D100" s="8"/>
      <c r="E100" s="7"/>
      <c r="F100" s="7"/>
      <c r="G100" s="7"/>
      <c r="H100" s="8" t="str">
        <f t="shared" si="2"/>
        <v/>
      </c>
      <c r="I100" s="7"/>
      <c r="J100" s="7"/>
      <c r="K100" s="11" t="str">
        <f t="shared" si="3"/>
        <v>0x0</v>
      </c>
      <c r="L100" s="7"/>
    </row>
    <row r="101" spans="2:12">
      <c r="B101" s="7"/>
      <c r="C101" s="7"/>
      <c r="D101" s="8"/>
      <c r="E101" s="7"/>
      <c r="F101" s="7"/>
      <c r="G101" s="7"/>
      <c r="H101" s="8" t="str">
        <f t="shared" si="2"/>
        <v/>
      </c>
      <c r="I101" s="7"/>
      <c r="J101" s="7"/>
      <c r="K101" s="11" t="str">
        <f t="shared" si="3"/>
        <v>0x0</v>
      </c>
      <c r="L101" s="7"/>
    </row>
    <row r="102" spans="2:12">
      <c r="B102" s="7"/>
      <c r="C102" s="7"/>
      <c r="D102" s="8"/>
      <c r="E102" s="7"/>
      <c r="F102" s="7"/>
      <c r="G102" s="7"/>
      <c r="H102" s="8" t="str">
        <f t="shared" si="2"/>
        <v/>
      </c>
      <c r="I102" s="7"/>
      <c r="J102" s="7"/>
      <c r="K102" s="11" t="str">
        <f t="shared" si="3"/>
        <v>0x0</v>
      </c>
      <c r="L102" s="7"/>
    </row>
    <row r="103" spans="2:12">
      <c r="B103" s="7"/>
      <c r="C103" s="7"/>
      <c r="D103" s="8"/>
      <c r="E103" s="7"/>
      <c r="F103" s="7"/>
      <c r="G103" s="7"/>
      <c r="H103" s="8" t="str">
        <f t="shared" si="2"/>
        <v/>
      </c>
      <c r="I103" s="7"/>
      <c r="J103" s="7"/>
      <c r="K103" s="11" t="str">
        <f t="shared" si="3"/>
        <v>0x0</v>
      </c>
      <c r="L103" s="7"/>
    </row>
    <row r="104" spans="2:12">
      <c r="B104" s="7"/>
      <c r="C104" s="7"/>
      <c r="D104" s="8"/>
      <c r="E104" s="7"/>
      <c r="F104" s="7"/>
      <c r="G104" s="7"/>
      <c r="H104" s="8" t="str">
        <f t="shared" si="2"/>
        <v/>
      </c>
      <c r="I104" s="7"/>
      <c r="J104" s="7"/>
      <c r="K104" s="11" t="str">
        <f t="shared" si="3"/>
        <v>0x0</v>
      </c>
      <c r="L104" s="7"/>
    </row>
    <row r="105" spans="2:12">
      <c r="B105" s="7"/>
      <c r="C105" s="7"/>
      <c r="D105" s="8"/>
      <c r="E105" s="7"/>
      <c r="F105" s="7"/>
      <c r="G105" s="7"/>
      <c r="H105" s="8" t="str">
        <f t="shared" si="2"/>
        <v/>
      </c>
      <c r="I105" s="7"/>
      <c r="J105" s="7"/>
      <c r="K105" s="11" t="str">
        <f t="shared" si="3"/>
        <v>0x0</v>
      </c>
      <c r="L105" s="7"/>
    </row>
    <row r="106" spans="2:12">
      <c r="B106" s="7"/>
      <c r="C106" s="7"/>
      <c r="D106" s="8"/>
      <c r="E106" s="7"/>
      <c r="F106" s="7"/>
      <c r="G106" s="7"/>
      <c r="H106" s="8" t="str">
        <f t="shared" si="2"/>
        <v/>
      </c>
      <c r="I106" s="7"/>
      <c r="J106" s="7"/>
      <c r="K106" s="11" t="str">
        <f t="shared" si="3"/>
        <v>0x0</v>
      </c>
      <c r="L106" s="7"/>
    </row>
    <row r="107" spans="2:12">
      <c r="B107" s="7"/>
      <c r="C107" s="7"/>
      <c r="D107" s="8"/>
      <c r="E107" s="7"/>
      <c r="F107" s="7"/>
      <c r="G107" s="7"/>
      <c r="H107" s="8" t="str">
        <f t="shared" si="2"/>
        <v/>
      </c>
      <c r="I107" s="7"/>
      <c r="J107" s="7"/>
      <c r="K107" s="11" t="str">
        <f t="shared" si="3"/>
        <v>0x0</v>
      </c>
      <c r="L107" s="7"/>
    </row>
    <row r="108" spans="2:12">
      <c r="B108" s="7"/>
      <c r="C108" s="7"/>
      <c r="D108" s="8"/>
      <c r="E108" s="7"/>
      <c r="F108" s="7"/>
      <c r="G108" s="7"/>
      <c r="H108" s="8" t="str">
        <f t="shared" si="2"/>
        <v/>
      </c>
      <c r="I108" s="7"/>
      <c r="J108" s="7"/>
      <c r="K108" s="11" t="str">
        <f t="shared" si="3"/>
        <v>0x0</v>
      </c>
      <c r="L108" s="7"/>
    </row>
    <row r="109" spans="2:12">
      <c r="B109" s="7"/>
      <c r="C109" s="7"/>
      <c r="D109" s="8"/>
      <c r="E109" s="7"/>
      <c r="F109" s="7"/>
      <c r="G109" s="7"/>
      <c r="H109" s="8" t="str">
        <f t="shared" si="2"/>
        <v/>
      </c>
      <c r="I109" s="7"/>
      <c r="J109" s="7"/>
      <c r="K109" s="11" t="str">
        <f t="shared" si="3"/>
        <v>0x0</v>
      </c>
      <c r="L109" s="7"/>
    </row>
    <row r="110" spans="2:12">
      <c r="B110" s="7"/>
      <c r="C110" s="7"/>
      <c r="D110" s="8"/>
      <c r="E110" s="7"/>
      <c r="F110" s="7"/>
      <c r="G110" s="7"/>
      <c r="H110" s="8" t="str">
        <f t="shared" si="2"/>
        <v/>
      </c>
      <c r="I110" s="7"/>
      <c r="J110" s="7"/>
      <c r="K110" s="11" t="str">
        <f t="shared" si="3"/>
        <v>0x0</v>
      </c>
      <c r="L110" s="7"/>
    </row>
    <row r="111" spans="2:12">
      <c r="B111" s="7"/>
      <c r="C111" s="7"/>
      <c r="D111" s="8"/>
      <c r="E111" s="7"/>
      <c r="F111" s="7"/>
      <c r="G111" s="7"/>
      <c r="H111" s="8" t="str">
        <f t="shared" si="2"/>
        <v/>
      </c>
      <c r="I111" s="7"/>
      <c r="J111" s="7"/>
      <c r="K111" s="11" t="str">
        <f t="shared" si="3"/>
        <v>0x0</v>
      </c>
      <c r="L111" s="7"/>
    </row>
    <row r="112" spans="2:12">
      <c r="B112" s="7"/>
      <c r="C112" s="7"/>
      <c r="D112" s="8"/>
      <c r="E112" s="7"/>
      <c r="F112" s="7"/>
      <c r="G112" s="7"/>
      <c r="H112" s="8" t="str">
        <f t="shared" si="2"/>
        <v/>
      </c>
      <c r="I112" s="7"/>
      <c r="J112" s="7"/>
      <c r="K112" s="11" t="str">
        <f t="shared" si="3"/>
        <v>0x0</v>
      </c>
      <c r="L112" s="7"/>
    </row>
    <row r="113" spans="2:12">
      <c r="B113" s="7"/>
      <c r="C113" s="7"/>
      <c r="D113" s="8"/>
      <c r="E113" s="7"/>
      <c r="F113" s="7"/>
      <c r="G113" s="7"/>
      <c r="H113" s="8" t="str">
        <f t="shared" si="2"/>
        <v/>
      </c>
      <c r="I113" s="7"/>
      <c r="J113" s="7"/>
      <c r="K113" s="11" t="str">
        <f t="shared" si="3"/>
        <v>0x0</v>
      </c>
      <c r="L113" s="7"/>
    </row>
    <row r="114" spans="2:12">
      <c r="B114" s="7"/>
      <c r="C114" s="7"/>
      <c r="D114" s="8"/>
      <c r="E114" s="7"/>
      <c r="F114" s="7"/>
      <c r="G114" s="7"/>
      <c r="H114" s="8" t="str">
        <f t="shared" si="2"/>
        <v/>
      </c>
      <c r="I114" s="7"/>
      <c r="J114" s="7"/>
      <c r="K114" s="11" t="str">
        <f t="shared" si="3"/>
        <v>0x0</v>
      </c>
      <c r="L114" s="7"/>
    </row>
    <row r="115" spans="2:12">
      <c r="B115" s="7"/>
      <c r="C115" s="7"/>
      <c r="D115" s="8"/>
      <c r="E115" s="7"/>
      <c r="F115" s="7"/>
      <c r="G115" s="7"/>
      <c r="H115" s="8" t="str">
        <f t="shared" si="2"/>
        <v/>
      </c>
      <c r="I115" s="7"/>
      <c r="J115" s="7"/>
      <c r="K115" s="11" t="str">
        <f t="shared" si="3"/>
        <v>0x0</v>
      </c>
      <c r="L115" s="7"/>
    </row>
    <row r="116" spans="2:12">
      <c r="B116" s="7"/>
      <c r="C116" s="7"/>
      <c r="D116" s="8"/>
      <c r="E116" s="7"/>
      <c r="F116" s="7"/>
      <c r="G116" s="7"/>
      <c r="H116" s="8" t="str">
        <f t="shared" si="2"/>
        <v/>
      </c>
      <c r="I116" s="7"/>
      <c r="J116" s="7"/>
      <c r="K116" s="11" t="str">
        <f t="shared" si="3"/>
        <v>0x0</v>
      </c>
      <c r="L116" s="7"/>
    </row>
    <row r="117" spans="2:12">
      <c r="B117" s="7"/>
      <c r="C117" s="7"/>
      <c r="D117" s="8"/>
      <c r="E117" s="7"/>
      <c r="F117" s="7"/>
      <c r="G117" s="7"/>
      <c r="H117" s="8" t="str">
        <f t="shared" si="2"/>
        <v/>
      </c>
      <c r="I117" s="7"/>
      <c r="J117" s="7"/>
      <c r="K117" s="11" t="str">
        <f t="shared" si="3"/>
        <v>0x0</v>
      </c>
      <c r="L117" s="7"/>
    </row>
    <row r="118" spans="2:12">
      <c r="B118" s="7"/>
      <c r="C118" s="7"/>
      <c r="D118" s="8"/>
      <c r="E118" s="7"/>
      <c r="F118" s="7"/>
      <c r="G118" s="7"/>
      <c r="H118" s="8" t="str">
        <f t="shared" si="2"/>
        <v/>
      </c>
      <c r="I118" s="7"/>
      <c r="J118" s="7"/>
      <c r="K118" s="11" t="str">
        <f t="shared" si="3"/>
        <v>0x0</v>
      </c>
      <c r="L118" s="7"/>
    </row>
    <row r="119" spans="2:12">
      <c r="B119" s="7"/>
      <c r="C119" s="7"/>
      <c r="D119" s="8"/>
      <c r="E119" s="7"/>
      <c r="F119" s="7"/>
      <c r="G119" s="7"/>
      <c r="H119" s="8" t="str">
        <f t="shared" si="2"/>
        <v/>
      </c>
      <c r="I119" s="7"/>
      <c r="J119" s="7"/>
      <c r="K119" s="11" t="str">
        <f t="shared" si="3"/>
        <v>0x0</v>
      </c>
      <c r="L119" s="7"/>
    </row>
    <row r="120" spans="2:12">
      <c r="B120" s="7"/>
      <c r="C120" s="7"/>
      <c r="D120" s="8"/>
      <c r="E120" s="7"/>
      <c r="F120" s="7"/>
      <c r="G120" s="7"/>
      <c r="H120" s="8" t="str">
        <f t="shared" si="2"/>
        <v/>
      </c>
      <c r="I120" s="7"/>
      <c r="J120" s="7"/>
      <c r="K120" s="11" t="str">
        <f t="shared" si="3"/>
        <v>0x0</v>
      </c>
      <c r="L120" s="7"/>
    </row>
    <row r="121" spans="2:12">
      <c r="B121" s="7"/>
      <c r="C121" s="7"/>
      <c r="D121" s="8"/>
      <c r="E121" s="7"/>
      <c r="F121" s="7"/>
      <c r="G121" s="7"/>
      <c r="H121" s="8" t="str">
        <f t="shared" si="2"/>
        <v/>
      </c>
      <c r="I121" s="7"/>
      <c r="J121" s="7"/>
      <c r="K121" s="11" t="str">
        <f t="shared" si="3"/>
        <v>0x0</v>
      </c>
      <c r="L121" s="7"/>
    </row>
    <row r="122" spans="2:12">
      <c r="B122" s="7"/>
      <c r="C122" s="7"/>
      <c r="D122" s="8"/>
      <c r="E122" s="7"/>
      <c r="F122" s="7"/>
      <c r="G122" s="7"/>
      <c r="H122" s="8" t="str">
        <f t="shared" si="2"/>
        <v/>
      </c>
      <c r="I122" s="7"/>
      <c r="J122" s="7"/>
      <c r="K122" s="11" t="str">
        <f t="shared" si="3"/>
        <v>0x0</v>
      </c>
      <c r="L122" s="7"/>
    </row>
    <row r="123" spans="2:12">
      <c r="B123" s="7"/>
      <c r="C123" s="7"/>
      <c r="D123" s="8"/>
      <c r="E123" s="7"/>
      <c r="F123" s="7"/>
      <c r="G123" s="7"/>
      <c r="H123" s="8" t="str">
        <f t="shared" si="2"/>
        <v/>
      </c>
      <c r="I123" s="7"/>
      <c r="J123" s="7"/>
      <c r="K123" s="11" t="str">
        <f t="shared" si="3"/>
        <v>0x0</v>
      </c>
      <c r="L123" s="7"/>
    </row>
    <row r="124" spans="2:12">
      <c r="B124" s="7"/>
      <c r="C124" s="7"/>
      <c r="D124" s="8"/>
      <c r="E124" s="7"/>
      <c r="F124" s="7"/>
      <c r="G124" s="7"/>
      <c r="H124" s="8" t="str">
        <f t="shared" si="2"/>
        <v/>
      </c>
      <c r="I124" s="7"/>
      <c r="J124" s="7"/>
      <c r="K124" s="11" t="str">
        <f t="shared" si="3"/>
        <v>0x0</v>
      </c>
      <c r="L124" s="7"/>
    </row>
    <row r="125" spans="2:12">
      <c r="B125" s="7"/>
      <c r="C125" s="7"/>
      <c r="D125" s="8"/>
      <c r="E125" s="7"/>
      <c r="F125" s="7"/>
      <c r="G125" s="7"/>
      <c r="H125" s="8" t="str">
        <f t="shared" si="2"/>
        <v/>
      </c>
      <c r="I125" s="7"/>
      <c r="J125" s="7"/>
      <c r="K125" s="11" t="str">
        <f t="shared" si="3"/>
        <v>0x0</v>
      </c>
      <c r="L125" s="7"/>
    </row>
    <row r="126" spans="2:12">
      <c r="B126" s="7"/>
      <c r="C126" s="7"/>
      <c r="D126" s="8"/>
      <c r="E126" s="7"/>
      <c r="F126" s="7"/>
      <c r="G126" s="7"/>
      <c r="H126" s="8" t="str">
        <f t="shared" si="2"/>
        <v/>
      </c>
      <c r="I126" s="7"/>
      <c r="J126" s="7"/>
      <c r="K126" s="11" t="str">
        <f t="shared" si="3"/>
        <v>0x0</v>
      </c>
      <c r="L126" s="7"/>
    </row>
    <row r="127" spans="2:12">
      <c r="B127" s="7"/>
      <c r="C127" s="7"/>
      <c r="D127" s="8"/>
      <c r="E127" s="7"/>
      <c r="F127" s="7"/>
      <c r="G127" s="7"/>
      <c r="H127" s="8" t="str">
        <f t="shared" si="2"/>
        <v/>
      </c>
      <c r="I127" s="7"/>
      <c r="J127" s="7"/>
      <c r="K127" s="11" t="str">
        <f t="shared" si="3"/>
        <v>0x0</v>
      </c>
      <c r="L127" s="7"/>
    </row>
    <row r="128" spans="2:12">
      <c r="B128" s="7"/>
      <c r="C128" s="7"/>
      <c r="D128" s="8"/>
      <c r="E128" s="7"/>
      <c r="F128" s="7"/>
      <c r="G128" s="7"/>
      <c r="H128" s="8" t="str">
        <f t="shared" si="2"/>
        <v/>
      </c>
      <c r="I128" s="7"/>
      <c r="J128" s="7"/>
      <c r="K128" s="11" t="str">
        <f t="shared" si="3"/>
        <v>0x0</v>
      </c>
      <c r="L128" s="7"/>
    </row>
    <row r="129" spans="2:12">
      <c r="B129" s="7"/>
      <c r="C129" s="7"/>
      <c r="D129" s="8"/>
      <c r="E129" s="7"/>
      <c r="F129" s="7"/>
      <c r="G129" s="7"/>
      <c r="H129" s="8" t="str">
        <f t="shared" si="2"/>
        <v/>
      </c>
      <c r="I129" s="7"/>
      <c r="J129" s="7"/>
      <c r="K129" s="11" t="str">
        <f t="shared" si="3"/>
        <v>0x0</v>
      </c>
      <c r="L129" s="7"/>
    </row>
    <row r="130" spans="2:12">
      <c r="B130" s="7"/>
      <c r="C130" s="7"/>
      <c r="D130" s="8"/>
      <c r="E130" s="7"/>
      <c r="F130" s="7"/>
      <c r="G130" s="7"/>
      <c r="H130" s="8" t="str">
        <f t="shared" si="2"/>
        <v/>
      </c>
      <c r="I130" s="7"/>
      <c r="J130" s="7"/>
      <c r="K130" s="11" t="str">
        <f t="shared" si="3"/>
        <v>0x0</v>
      </c>
      <c r="L130" s="7"/>
    </row>
    <row r="131" spans="2:12">
      <c r="B131" s="7"/>
      <c r="C131" s="7"/>
      <c r="D131" s="8"/>
      <c r="E131" s="7"/>
      <c r="F131" s="7"/>
      <c r="G131" s="7"/>
      <c r="H131" s="8" t="str">
        <f t="shared" si="2"/>
        <v/>
      </c>
      <c r="I131" s="7"/>
      <c r="J131" s="7"/>
      <c r="K131" s="11" t="str">
        <f t="shared" si="3"/>
        <v>0x0</v>
      </c>
      <c r="L131" s="7"/>
    </row>
    <row r="132" spans="2:12">
      <c r="B132" s="7"/>
      <c r="C132" s="7"/>
      <c r="D132" s="8"/>
      <c r="E132" s="7"/>
      <c r="F132" s="7"/>
      <c r="G132" s="7"/>
      <c r="H132" s="8" t="str">
        <f t="shared" si="2"/>
        <v/>
      </c>
      <c r="I132" s="7"/>
      <c r="J132" s="7"/>
      <c r="K132" s="11" t="str">
        <f t="shared" si="3"/>
        <v>0x0</v>
      </c>
      <c r="L132" s="7"/>
    </row>
    <row r="133" spans="2:12">
      <c r="B133" s="7"/>
      <c r="C133" s="7"/>
      <c r="D133" s="8"/>
      <c r="E133" s="7"/>
      <c r="F133" s="7"/>
      <c r="G133" s="7"/>
      <c r="H133" s="8" t="str">
        <f t="shared" si="2"/>
        <v/>
      </c>
      <c r="I133" s="7"/>
      <c r="J133" s="7"/>
      <c r="K133" s="11" t="str">
        <f t="shared" si="3"/>
        <v>0x0</v>
      </c>
      <c r="L133" s="7"/>
    </row>
    <row r="134" spans="2:12">
      <c r="B134" t="s">
        <v>8</v>
      </c>
      <c r="C134" t="s">
        <v>8</v>
      </c>
      <c r="D134" t="s">
        <v>8</v>
      </c>
      <c r="E134" t="s">
        <v>8</v>
      </c>
      <c r="F134" t="s">
        <v>8</v>
      </c>
      <c r="G134" t="s">
        <v>8</v>
      </c>
      <c r="H134" t="s">
        <v>8</v>
      </c>
      <c r="I134" t="s">
        <v>8</v>
      </c>
      <c r="J134" t="s">
        <v>8</v>
      </c>
      <c r="K134" t="s">
        <v>8</v>
      </c>
      <c r="L134" t="s">
        <v>8</v>
      </c>
    </row>
  </sheetData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3" name="Button 27">
              <controlPr defaultSize="0" print="0" autoFill="0" autoPict="0" macro="[0]!GenRegSingle">
                <anchor moveWithCells="1" sizeWithCells="1">
                  <from>
                    <xdr:col>5</xdr:col>
                    <xdr:colOff>63500</xdr:colOff>
                    <xdr:row>1</xdr:row>
                    <xdr:rowOff>38100</xdr:rowOff>
                  </from>
                  <to>
                    <xdr:col>8</xdr:col>
                    <xdr:colOff>533400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8C2D4F-012F-EF4E-A5F7-B19705BE7C22}">
          <x14:formula1>
            <xm:f>Ref!$A:$A</xm:f>
          </x14:formula1>
          <xm:sqref>I6:I133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E007-87EE-F941-B8AF-A5BF6F4A221A}">
  <sheetPr codeName="Sheet3"/>
  <dimension ref="B2:AG146"/>
  <sheetViews>
    <sheetView topLeftCell="A13" zoomScale="87" zoomScaleNormal="100" workbookViewId="0">
      <selection activeCell="H58" sqref="H58"/>
    </sheetView>
  </sheetViews>
  <sheetFormatPr baseColWidth="10" defaultRowHeight="20"/>
  <cols>
    <col min="1" max="1" width="2.85546875" customWidth="1"/>
    <col min="2" max="2" width="24.42578125" customWidth="1"/>
    <col min="3" max="3" width="10.7109375" customWidth="1"/>
    <col min="4" max="4" width="40.7109375" customWidth="1"/>
    <col min="5" max="5" width="10.7109375" customWidth="1"/>
    <col min="6" max="6" width="40.7109375" customWidth="1"/>
    <col min="7" max="7" width="10.7109375" customWidth="1"/>
    <col min="8" max="8" width="40.7109375" customWidth="1"/>
    <col min="9" max="9" width="21.42578125" customWidth="1"/>
    <col min="22" max="22" width="22.7109375" customWidth="1"/>
  </cols>
  <sheetData>
    <row r="2" spans="2:6" ht="31">
      <c r="B2" s="13" t="s">
        <v>99</v>
      </c>
    </row>
    <row r="4" spans="2:6">
      <c r="B4" s="15" t="s">
        <v>98</v>
      </c>
    </row>
    <row r="8" spans="2:6">
      <c r="B8" t="s">
        <v>104</v>
      </c>
    </row>
    <row r="9" spans="2:6">
      <c r="B9" s="1" t="s">
        <v>4</v>
      </c>
      <c r="C9" s="5" t="s">
        <v>32</v>
      </c>
      <c r="D9" s="1" t="s">
        <v>108</v>
      </c>
      <c r="E9" s="5" t="s">
        <v>32</v>
      </c>
      <c r="F9" s="1" t="s">
        <v>112</v>
      </c>
    </row>
    <row r="10" spans="2:6">
      <c r="B10" s="2" t="s">
        <v>6</v>
      </c>
      <c r="C10" s="2" t="s">
        <v>32</v>
      </c>
      <c r="D10" s="2" t="s">
        <v>106</v>
      </c>
      <c r="E10" s="2" t="s">
        <v>32</v>
      </c>
      <c r="F10" s="2" t="s">
        <v>109</v>
      </c>
    </row>
    <row r="11" spans="2:6">
      <c r="B11" s="2" t="s">
        <v>125</v>
      </c>
      <c r="C11" s="14" t="s">
        <v>32</v>
      </c>
      <c r="D11" s="2" t="s">
        <v>130</v>
      </c>
      <c r="E11" s="14" t="s">
        <v>32</v>
      </c>
      <c r="F11" s="2" t="s">
        <v>131</v>
      </c>
    </row>
    <row r="12" spans="2:6">
      <c r="B12" s="2" t="s">
        <v>5</v>
      </c>
      <c r="C12" s="14" t="s">
        <v>32</v>
      </c>
      <c r="D12" s="2" t="s">
        <v>105</v>
      </c>
      <c r="E12" s="14" t="s">
        <v>32</v>
      </c>
      <c r="F12" s="2" t="s">
        <v>110</v>
      </c>
    </row>
    <row r="13" spans="2:6">
      <c r="B13" s="2" t="s">
        <v>49</v>
      </c>
      <c r="C13" s="14" t="s">
        <v>32</v>
      </c>
      <c r="D13" s="2" t="s">
        <v>107</v>
      </c>
      <c r="E13" s="14" t="s">
        <v>32</v>
      </c>
      <c r="F13" s="2" t="s">
        <v>111</v>
      </c>
    </row>
    <row r="16" spans="2:6">
      <c r="B16" s="16" t="s">
        <v>71</v>
      </c>
    </row>
    <row r="17" spans="2:6">
      <c r="B17" s="1" t="s">
        <v>64</v>
      </c>
      <c r="C17" s="1" t="s">
        <v>65</v>
      </c>
      <c r="D17" s="1" t="s">
        <v>7</v>
      </c>
      <c r="E17" s="12" t="s">
        <v>85</v>
      </c>
      <c r="F17" s="1" t="s">
        <v>84</v>
      </c>
    </row>
    <row r="18" spans="2:6">
      <c r="B18" s="2" t="s">
        <v>29</v>
      </c>
      <c r="C18" s="2" t="s">
        <v>66</v>
      </c>
      <c r="D18" s="2" t="s">
        <v>68</v>
      </c>
      <c r="E18" s="2" t="s">
        <v>32</v>
      </c>
      <c r="F18" s="2" t="s">
        <v>83</v>
      </c>
    </row>
    <row r="19" spans="2:6">
      <c r="B19" s="2" t="s">
        <v>30</v>
      </c>
      <c r="C19" s="2" t="s">
        <v>66</v>
      </c>
      <c r="D19" s="2" t="s">
        <v>69</v>
      </c>
      <c r="E19" s="2" t="s">
        <v>70</v>
      </c>
      <c r="F19" s="2" t="s">
        <v>83</v>
      </c>
    </row>
    <row r="20" spans="2:6">
      <c r="B20" s="2" t="s">
        <v>31</v>
      </c>
      <c r="C20" s="2" t="s">
        <v>66</v>
      </c>
      <c r="D20" s="2" t="s">
        <v>73</v>
      </c>
      <c r="E20" s="2" t="s">
        <v>29</v>
      </c>
      <c r="F20" s="2" t="s">
        <v>83</v>
      </c>
    </row>
    <row r="21" spans="2:6">
      <c r="B21" s="2" t="s">
        <v>33</v>
      </c>
      <c r="C21" s="2" t="s">
        <v>66</v>
      </c>
      <c r="D21" s="2" t="s">
        <v>74</v>
      </c>
      <c r="E21" s="2" t="s">
        <v>29</v>
      </c>
      <c r="F21" s="2" t="s">
        <v>83</v>
      </c>
    </row>
    <row r="22" spans="2:6">
      <c r="B22" s="2" t="s">
        <v>34</v>
      </c>
      <c r="C22" s="2" t="s">
        <v>66</v>
      </c>
      <c r="D22" s="2" t="s">
        <v>75</v>
      </c>
      <c r="E22" s="2" t="s">
        <v>29</v>
      </c>
      <c r="F22" s="2" t="s">
        <v>83</v>
      </c>
    </row>
    <row r="23" spans="2:6">
      <c r="B23" s="2" t="s">
        <v>35</v>
      </c>
      <c r="C23" s="2" t="s">
        <v>66</v>
      </c>
      <c r="D23" s="2" t="s">
        <v>76</v>
      </c>
      <c r="E23" s="2" t="s">
        <v>29</v>
      </c>
      <c r="F23" s="2" t="s">
        <v>83</v>
      </c>
    </row>
    <row r="24" spans="2:6">
      <c r="B24" s="2" t="s">
        <v>36</v>
      </c>
      <c r="C24" s="2" t="s">
        <v>66</v>
      </c>
      <c r="D24" s="2" t="s">
        <v>77</v>
      </c>
      <c r="E24" s="2" t="s">
        <v>29</v>
      </c>
      <c r="F24" s="2" t="s">
        <v>83</v>
      </c>
    </row>
    <row r="25" spans="2:6">
      <c r="B25" s="2" t="s">
        <v>37</v>
      </c>
      <c r="C25" s="2" t="s">
        <v>66</v>
      </c>
      <c r="D25" s="2" t="s">
        <v>78</v>
      </c>
      <c r="E25" s="2" t="s">
        <v>29</v>
      </c>
      <c r="F25" s="2" t="s">
        <v>83</v>
      </c>
    </row>
    <row r="26" spans="2:6">
      <c r="B26" s="2" t="s">
        <v>38</v>
      </c>
      <c r="C26" s="2" t="s">
        <v>67</v>
      </c>
      <c r="D26" s="2" t="s">
        <v>79</v>
      </c>
      <c r="E26" s="2" t="s">
        <v>29</v>
      </c>
      <c r="F26" s="2" t="s">
        <v>83</v>
      </c>
    </row>
    <row r="27" spans="2:6">
      <c r="B27" s="2" t="s">
        <v>39</v>
      </c>
      <c r="C27" s="2" t="s">
        <v>67</v>
      </c>
      <c r="D27" s="2" t="s">
        <v>80</v>
      </c>
      <c r="E27" s="2" t="s">
        <v>29</v>
      </c>
      <c r="F27" s="2" t="s">
        <v>83</v>
      </c>
    </row>
    <row r="28" spans="2:6">
      <c r="B28" s="2" t="s">
        <v>40</v>
      </c>
      <c r="C28" s="2" t="s">
        <v>67</v>
      </c>
      <c r="D28" s="2" t="s">
        <v>81</v>
      </c>
      <c r="E28" s="2" t="s">
        <v>29</v>
      </c>
      <c r="F28" s="2" t="s">
        <v>83</v>
      </c>
    </row>
    <row r="29" spans="2:6">
      <c r="B29" s="2" t="s">
        <v>86</v>
      </c>
      <c r="C29" s="2" t="s">
        <v>67</v>
      </c>
      <c r="D29" s="2" t="s">
        <v>97</v>
      </c>
      <c r="E29" s="2" t="s">
        <v>29</v>
      </c>
      <c r="F29" s="2" t="s">
        <v>89</v>
      </c>
    </row>
    <row r="30" spans="2:6">
      <c r="B30" s="2" t="s">
        <v>91</v>
      </c>
      <c r="C30" s="2" t="s">
        <v>67</v>
      </c>
      <c r="D30" s="2" t="s">
        <v>94</v>
      </c>
      <c r="E30" s="2" t="s">
        <v>29</v>
      </c>
      <c r="F30" s="2" t="s">
        <v>126</v>
      </c>
    </row>
    <row r="31" spans="2:6">
      <c r="B31" s="2" t="s">
        <v>86</v>
      </c>
      <c r="C31" s="2" t="s">
        <v>67</v>
      </c>
      <c r="D31" s="2" t="s">
        <v>95</v>
      </c>
      <c r="E31" s="2" t="s">
        <v>29</v>
      </c>
      <c r="F31" s="2" t="s">
        <v>126</v>
      </c>
    </row>
    <row r="32" spans="2:6">
      <c r="B32" s="2" t="s">
        <v>92</v>
      </c>
      <c r="C32" s="2" t="s">
        <v>67</v>
      </c>
      <c r="D32" s="2" t="s">
        <v>96</v>
      </c>
      <c r="E32" s="2" t="s">
        <v>29</v>
      </c>
      <c r="F32" s="2" t="s">
        <v>90</v>
      </c>
    </row>
    <row r="33" spans="2:8">
      <c r="B33" s="2" t="s">
        <v>87</v>
      </c>
      <c r="C33" s="2" t="s">
        <v>66</v>
      </c>
      <c r="D33" s="2" t="s">
        <v>93</v>
      </c>
      <c r="E33" s="2" t="s">
        <v>29</v>
      </c>
      <c r="F33" s="2" t="s">
        <v>90</v>
      </c>
    </row>
    <row r="34" spans="2:8">
      <c r="B34" s="2" t="s">
        <v>91</v>
      </c>
      <c r="C34" s="2" t="s">
        <v>67</v>
      </c>
      <c r="D34" s="2" t="s">
        <v>94</v>
      </c>
      <c r="E34" s="2" t="s">
        <v>29</v>
      </c>
      <c r="F34" s="2" t="s">
        <v>88</v>
      </c>
    </row>
    <row r="35" spans="2:8">
      <c r="B35" s="2" t="s">
        <v>86</v>
      </c>
      <c r="C35" s="2" t="s">
        <v>67</v>
      </c>
      <c r="D35" s="2" t="s">
        <v>95</v>
      </c>
      <c r="E35" s="2" t="s">
        <v>29</v>
      </c>
      <c r="F35" s="2" t="s">
        <v>88</v>
      </c>
    </row>
    <row r="36" spans="2:8">
      <c r="B36" s="2" t="s">
        <v>92</v>
      </c>
      <c r="C36" s="2" t="s">
        <v>67</v>
      </c>
      <c r="D36" s="2" t="s">
        <v>96</v>
      </c>
      <c r="E36" s="2" t="s">
        <v>29</v>
      </c>
      <c r="F36" s="2" t="s">
        <v>88</v>
      </c>
    </row>
    <row r="37" spans="2:8">
      <c r="B37" s="2" t="s">
        <v>87</v>
      </c>
      <c r="C37" s="2" t="s">
        <v>66</v>
      </c>
      <c r="D37" s="2" t="s">
        <v>93</v>
      </c>
      <c r="E37" s="2" t="s">
        <v>29</v>
      </c>
      <c r="F37" s="2" t="s">
        <v>88</v>
      </c>
    </row>
    <row r="38" spans="2:8">
      <c r="D38" t="s">
        <v>82</v>
      </c>
    </row>
    <row r="40" spans="2:8">
      <c r="B40" s="16" t="s">
        <v>72</v>
      </c>
      <c r="C40" s="3"/>
    </row>
    <row r="41" spans="2:8">
      <c r="B41" t="s">
        <v>100</v>
      </c>
    </row>
    <row r="42" spans="2:8">
      <c r="B42" t="s">
        <v>42</v>
      </c>
    </row>
    <row r="43" spans="2:8">
      <c r="B43" s="1" t="s">
        <v>28</v>
      </c>
      <c r="C43" s="1" t="s">
        <v>11</v>
      </c>
      <c r="D43" s="1" t="s">
        <v>53</v>
      </c>
      <c r="E43" s="1" t="s">
        <v>43</v>
      </c>
      <c r="F43" s="1" t="s">
        <v>53</v>
      </c>
      <c r="G43" s="1" t="s">
        <v>44</v>
      </c>
      <c r="H43" s="1" t="s">
        <v>53</v>
      </c>
    </row>
    <row r="44" spans="2:8">
      <c r="B44" s="2" t="s">
        <v>29</v>
      </c>
      <c r="C44" s="2" t="s">
        <v>12</v>
      </c>
      <c r="D44" s="2" t="s">
        <v>25</v>
      </c>
      <c r="E44" s="2" t="s">
        <v>12</v>
      </c>
      <c r="F44" s="2" t="s">
        <v>25</v>
      </c>
      <c r="G44" s="2" t="s">
        <v>12</v>
      </c>
      <c r="H44" s="2" t="s">
        <v>25</v>
      </c>
    </row>
    <row r="45" spans="2:8">
      <c r="B45" s="2" t="s">
        <v>30</v>
      </c>
      <c r="C45" s="2" t="s">
        <v>13</v>
      </c>
      <c r="D45" s="2" t="s">
        <v>25</v>
      </c>
      <c r="E45" s="2" t="s">
        <v>13</v>
      </c>
      <c r="F45" s="2" t="s">
        <v>25</v>
      </c>
      <c r="G45" s="2" t="s">
        <v>13</v>
      </c>
      <c r="H45" s="2" t="s">
        <v>25</v>
      </c>
    </row>
    <row r="46" spans="2:8">
      <c r="B46" s="2" t="s">
        <v>31</v>
      </c>
      <c r="C46" s="2" t="s">
        <v>14</v>
      </c>
      <c r="D46" s="2" t="s">
        <v>25</v>
      </c>
      <c r="E46" s="2" t="s">
        <v>14</v>
      </c>
      <c r="F46" s="2" t="s">
        <v>25</v>
      </c>
      <c r="G46" s="2" t="s">
        <v>14</v>
      </c>
      <c r="H46" s="2" t="s">
        <v>25</v>
      </c>
    </row>
    <row r="47" spans="2:8" ht="63">
      <c r="B47" s="2" t="s">
        <v>32</v>
      </c>
      <c r="C47" s="2" t="s">
        <v>24</v>
      </c>
      <c r="D47" s="4" t="s">
        <v>41</v>
      </c>
      <c r="E47" s="2" t="s">
        <v>32</v>
      </c>
      <c r="F47" s="2" t="s">
        <v>32</v>
      </c>
      <c r="G47" s="2" t="s">
        <v>32</v>
      </c>
      <c r="H47" s="2" t="s">
        <v>32</v>
      </c>
    </row>
    <row r="48" spans="2:8" ht="63">
      <c r="B48" s="2" t="s">
        <v>32</v>
      </c>
      <c r="C48" s="2" t="s">
        <v>15</v>
      </c>
      <c r="D48" s="4" t="s">
        <v>41</v>
      </c>
      <c r="E48" s="2" t="s">
        <v>15</v>
      </c>
      <c r="F48" s="4" t="s">
        <v>41</v>
      </c>
      <c r="G48" s="2" t="s">
        <v>32</v>
      </c>
      <c r="H48" s="2" t="s">
        <v>32</v>
      </c>
    </row>
    <row r="49" spans="2:33">
      <c r="B49" s="2" t="s">
        <v>33</v>
      </c>
      <c r="C49" s="2" t="s">
        <v>16</v>
      </c>
      <c r="D49" s="2" t="s">
        <v>25</v>
      </c>
      <c r="E49" s="2" t="s">
        <v>16</v>
      </c>
      <c r="F49" s="2" t="s">
        <v>25</v>
      </c>
      <c r="G49" s="2" t="s">
        <v>16</v>
      </c>
      <c r="H49" s="2" t="s">
        <v>25</v>
      </c>
    </row>
    <row r="50" spans="2:33">
      <c r="B50" s="2" t="s">
        <v>34</v>
      </c>
      <c r="C50" s="2" t="s">
        <v>17</v>
      </c>
      <c r="D50" s="2" t="s">
        <v>25</v>
      </c>
      <c r="E50" s="2" t="s">
        <v>17</v>
      </c>
      <c r="F50" s="2" t="s">
        <v>25</v>
      </c>
      <c r="G50" s="2" t="s">
        <v>17</v>
      </c>
      <c r="H50" s="2" t="s">
        <v>25</v>
      </c>
    </row>
    <row r="51" spans="2:33">
      <c r="B51" s="2" t="s">
        <v>35</v>
      </c>
      <c r="C51" s="2" t="s">
        <v>18</v>
      </c>
      <c r="D51" s="2" t="s">
        <v>25</v>
      </c>
      <c r="E51" s="2" t="s">
        <v>18</v>
      </c>
      <c r="F51" s="2" t="s">
        <v>25</v>
      </c>
      <c r="G51" s="2" t="s">
        <v>18</v>
      </c>
      <c r="H51" s="2" t="s">
        <v>25</v>
      </c>
    </row>
    <row r="52" spans="2:33">
      <c r="B52" s="2" t="s">
        <v>36</v>
      </c>
      <c r="C52" s="2" t="s">
        <v>19</v>
      </c>
      <c r="D52" s="2" t="s">
        <v>25</v>
      </c>
      <c r="E52" s="2" t="s">
        <v>19</v>
      </c>
      <c r="F52" s="2" t="s">
        <v>25</v>
      </c>
      <c r="G52" s="2" t="s">
        <v>19</v>
      </c>
      <c r="H52" s="2" t="s">
        <v>25</v>
      </c>
    </row>
    <row r="53" spans="2:33" ht="63">
      <c r="B53" s="2" t="s">
        <v>37</v>
      </c>
      <c r="C53" s="2" t="s">
        <v>20</v>
      </c>
      <c r="D53" s="2" t="s">
        <v>25</v>
      </c>
      <c r="E53" s="2" t="s">
        <v>20</v>
      </c>
      <c r="F53" s="2" t="s">
        <v>25</v>
      </c>
      <c r="G53" s="2" t="s">
        <v>32</v>
      </c>
      <c r="H53" s="4" t="s">
        <v>45</v>
      </c>
    </row>
    <row r="54" spans="2:33">
      <c r="B54" s="2" t="s">
        <v>38</v>
      </c>
      <c r="C54" s="2" t="s">
        <v>21</v>
      </c>
      <c r="D54" s="2" t="s">
        <v>26</v>
      </c>
      <c r="E54" s="2" t="s">
        <v>21</v>
      </c>
      <c r="F54" s="2" t="s">
        <v>26</v>
      </c>
      <c r="G54" s="2" t="s">
        <v>21</v>
      </c>
      <c r="H54" s="2" t="s">
        <v>26</v>
      </c>
    </row>
    <row r="55" spans="2:33">
      <c r="B55" s="2" t="s">
        <v>39</v>
      </c>
      <c r="C55" s="2" t="s">
        <v>22</v>
      </c>
      <c r="D55" s="2" t="s">
        <v>25</v>
      </c>
      <c r="E55" s="2" t="s">
        <v>22</v>
      </c>
      <c r="F55" s="2" t="s">
        <v>25</v>
      </c>
      <c r="G55" s="2" t="s">
        <v>22</v>
      </c>
      <c r="H55" s="2" t="s">
        <v>25</v>
      </c>
    </row>
    <row r="56" spans="2:33">
      <c r="B56" s="2" t="s">
        <v>40</v>
      </c>
      <c r="C56" s="2" t="s">
        <v>23</v>
      </c>
      <c r="D56" s="2" t="s">
        <v>27</v>
      </c>
      <c r="E56" s="2" t="s">
        <v>23</v>
      </c>
      <c r="F56" s="2" t="s">
        <v>27</v>
      </c>
      <c r="G56" s="2" t="s">
        <v>23</v>
      </c>
      <c r="H56" s="2" t="s">
        <v>27</v>
      </c>
    </row>
    <row r="58" spans="2:33">
      <c r="B58" s="15" t="s">
        <v>102</v>
      </c>
    </row>
    <row r="60" spans="2:33">
      <c r="B60" t="s">
        <v>103</v>
      </c>
      <c r="I60" s="15" t="s">
        <v>117</v>
      </c>
      <c r="V60" s="15" t="s">
        <v>118</v>
      </c>
    </row>
    <row r="61" spans="2:33" ht="21" thickBot="1"/>
    <row r="62" spans="2:33" ht="21" thickBot="1">
      <c r="H62" s="15"/>
      <c r="I62" s="15" t="s">
        <v>29</v>
      </c>
      <c r="J62" s="18"/>
      <c r="K62" s="19"/>
      <c r="L62" s="21"/>
      <c r="M62" s="19"/>
      <c r="N62" s="21"/>
      <c r="O62" s="19"/>
      <c r="P62" s="21"/>
      <c r="Q62" s="19"/>
      <c r="R62" s="21"/>
      <c r="S62" s="19"/>
      <c r="T62" s="20"/>
      <c r="V62" s="15" t="s">
        <v>29</v>
      </c>
      <c r="W62" s="18"/>
      <c r="X62" s="19"/>
      <c r="Y62" s="21"/>
      <c r="Z62" s="19"/>
      <c r="AA62" s="21"/>
      <c r="AB62" s="19"/>
      <c r="AC62" s="21"/>
      <c r="AD62" s="19"/>
      <c r="AE62" s="21"/>
      <c r="AF62" s="19"/>
      <c r="AG62" s="20"/>
    </row>
    <row r="63" spans="2:33" ht="21" thickBot="1">
      <c r="H63" s="15"/>
      <c r="M63" s="17"/>
      <c r="N63" s="22"/>
      <c r="O63" s="17"/>
      <c r="P63" s="22"/>
      <c r="Z63" s="17"/>
      <c r="AA63" s="22"/>
      <c r="AB63" s="17"/>
      <c r="AC63" s="22"/>
    </row>
    <row r="64" spans="2:33" ht="21" thickBot="1">
      <c r="H64" s="15"/>
      <c r="I64" s="15" t="s">
        <v>33</v>
      </c>
      <c r="J64" s="17"/>
      <c r="K64" s="17"/>
      <c r="L64" s="18"/>
      <c r="P64" s="23"/>
      <c r="Q64" s="20"/>
      <c r="R64" s="17"/>
      <c r="S64" s="17"/>
      <c r="T64" s="17"/>
      <c r="V64" s="15" t="s">
        <v>33</v>
      </c>
      <c r="W64" s="17"/>
      <c r="X64" s="17"/>
      <c r="Y64" s="18"/>
      <c r="AC64" s="23"/>
      <c r="AD64" s="20"/>
      <c r="AE64" s="17"/>
      <c r="AF64" s="17"/>
      <c r="AG64" s="17"/>
    </row>
    <row r="65" spans="8:33" ht="21" thickBot="1">
      <c r="H65" s="15"/>
      <c r="I65" s="15"/>
      <c r="O65" s="17"/>
      <c r="P65" s="17"/>
      <c r="V65" s="15"/>
      <c r="AB65" s="17"/>
      <c r="AC65" s="17"/>
    </row>
    <row r="66" spans="8:33" ht="21" thickBot="1">
      <c r="H66" s="15"/>
      <c r="I66" s="15" t="s">
        <v>34</v>
      </c>
      <c r="J66" s="24"/>
      <c r="K66" s="24"/>
      <c r="L66" s="24"/>
      <c r="M66" s="17"/>
      <c r="N66" s="18"/>
      <c r="P66" s="23"/>
      <c r="Q66" s="24"/>
      <c r="R66" s="24"/>
      <c r="S66" s="24"/>
      <c r="T66" s="24"/>
      <c r="V66" s="15" t="s">
        <v>34</v>
      </c>
      <c r="W66" s="24"/>
      <c r="X66" s="24"/>
      <c r="Y66" s="24"/>
      <c r="Z66" s="17"/>
      <c r="AA66" s="18"/>
      <c r="AC66" s="23"/>
      <c r="AD66" s="24"/>
      <c r="AE66" s="24"/>
      <c r="AF66" s="24"/>
      <c r="AG66" s="24"/>
    </row>
    <row r="67" spans="8:33" ht="21" thickBot="1">
      <c r="H67" s="15"/>
      <c r="I67" s="15"/>
      <c r="M67" s="22"/>
      <c r="N67" s="17"/>
      <c r="O67" s="17"/>
      <c r="P67" s="17"/>
      <c r="V67" s="15"/>
      <c r="Z67" s="22"/>
      <c r="AA67" s="17"/>
      <c r="AB67" s="17"/>
      <c r="AC67" s="17"/>
    </row>
    <row r="68" spans="8:33" ht="21" thickBot="1">
      <c r="H68" s="15"/>
      <c r="I68" s="15" t="s">
        <v>31</v>
      </c>
      <c r="J68" s="24"/>
      <c r="K68" s="24"/>
      <c r="L68" s="25"/>
      <c r="M68" s="29" t="s">
        <v>114</v>
      </c>
      <c r="N68" s="27"/>
      <c r="O68" s="27"/>
      <c r="P68" s="28"/>
      <c r="Q68" s="24"/>
      <c r="R68" s="24"/>
      <c r="S68" s="24"/>
      <c r="T68" s="24"/>
      <c r="V68" s="15" t="s">
        <v>31</v>
      </c>
      <c r="W68" s="24"/>
      <c r="X68" s="24"/>
      <c r="Y68" s="25"/>
      <c r="Z68" s="29" t="s">
        <v>114</v>
      </c>
      <c r="AA68" s="27"/>
      <c r="AB68" s="27"/>
      <c r="AC68" s="28"/>
      <c r="AD68" s="24"/>
      <c r="AE68" s="24"/>
      <c r="AF68" s="24"/>
      <c r="AG68" s="24"/>
    </row>
    <row r="69" spans="8:33" ht="21" thickBot="1">
      <c r="M69" s="22"/>
      <c r="N69" s="22"/>
      <c r="O69" s="22"/>
    </row>
    <row r="70" spans="8:33" ht="21" thickBot="1">
      <c r="H70" s="15"/>
      <c r="I70" s="15" t="s">
        <v>35</v>
      </c>
      <c r="J70" s="24"/>
      <c r="K70" s="24"/>
      <c r="L70" s="24"/>
      <c r="M70" s="26"/>
      <c r="P70" s="23"/>
      <c r="Q70" s="24"/>
      <c r="R70" s="24"/>
      <c r="S70" s="24"/>
      <c r="T70" s="24"/>
      <c r="V70" s="15" t="s">
        <v>35</v>
      </c>
      <c r="W70" s="24"/>
      <c r="X70" s="24"/>
      <c r="Y70" s="24"/>
      <c r="Z70" s="17"/>
      <c r="AA70" s="17"/>
      <c r="AB70" s="17"/>
      <c r="AC70" s="17"/>
      <c r="AD70" s="24"/>
      <c r="AE70" s="24"/>
      <c r="AF70" s="24"/>
      <c r="AG70" s="24"/>
    </row>
    <row r="71" spans="8:33" ht="21" thickBot="1"/>
    <row r="72" spans="8:33" ht="21" thickBot="1">
      <c r="H72" s="15"/>
      <c r="I72" s="15" t="s">
        <v>37</v>
      </c>
      <c r="J72" s="24"/>
      <c r="K72" s="24"/>
      <c r="L72" s="24"/>
      <c r="M72" s="29" t="s">
        <v>121</v>
      </c>
      <c r="N72" s="27"/>
      <c r="O72" s="27"/>
      <c r="P72" s="28"/>
      <c r="Q72" s="24"/>
      <c r="R72" s="24"/>
      <c r="S72" s="24"/>
      <c r="T72" s="24"/>
      <c r="V72" s="15" t="s">
        <v>119</v>
      </c>
      <c r="W72" s="29">
        <v>0</v>
      </c>
      <c r="X72" s="27"/>
      <c r="Y72" s="27"/>
      <c r="Z72" s="27"/>
      <c r="AA72" s="28"/>
      <c r="AB72" s="29" t="s">
        <v>120</v>
      </c>
      <c r="AC72" s="27"/>
      <c r="AD72" s="29">
        <v>0</v>
      </c>
      <c r="AE72" s="27"/>
      <c r="AF72" s="27"/>
      <c r="AG72" s="28"/>
    </row>
    <row r="73" spans="8:33" ht="21" thickBot="1"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</row>
    <row r="74" spans="8:33" ht="21" thickBot="1">
      <c r="H74" s="15"/>
      <c r="I74" s="15" t="s">
        <v>36</v>
      </c>
      <c r="J74" s="24"/>
      <c r="K74" s="24"/>
      <c r="L74" s="24"/>
      <c r="M74" s="29" t="s">
        <v>115</v>
      </c>
      <c r="N74" s="27"/>
      <c r="O74" s="27"/>
      <c r="P74" s="28"/>
      <c r="Q74" s="24"/>
      <c r="R74" s="24"/>
      <c r="S74" s="24"/>
      <c r="T74" s="24"/>
      <c r="V74" s="15" t="s">
        <v>122</v>
      </c>
    </row>
    <row r="75" spans="8:33" ht="21" thickBot="1"/>
    <row r="76" spans="8:33" ht="21" thickBot="1">
      <c r="I76" s="15" t="s">
        <v>86</v>
      </c>
      <c r="J76" s="29" t="s">
        <v>116</v>
      </c>
      <c r="K76" s="27"/>
      <c r="L76" s="27"/>
      <c r="M76" s="27"/>
      <c r="N76" s="27"/>
      <c r="O76" s="27"/>
      <c r="P76" s="28"/>
      <c r="Q76" s="29" t="s">
        <v>115</v>
      </c>
      <c r="R76" s="27"/>
      <c r="S76" s="27"/>
      <c r="T76" s="28"/>
    </row>
    <row r="77" spans="8:33" ht="21" thickBot="1"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</row>
    <row r="78" spans="8:33">
      <c r="I78" s="15" t="s">
        <v>122</v>
      </c>
    </row>
    <row r="83" spans="2:33">
      <c r="B83" t="s">
        <v>127</v>
      </c>
      <c r="I83" s="15" t="s">
        <v>117</v>
      </c>
      <c r="V83" s="15" t="s">
        <v>118</v>
      </c>
    </row>
    <row r="84" spans="2:33" ht="21" thickBot="1"/>
    <row r="85" spans="2:33" ht="21" thickBot="1">
      <c r="I85" s="15" t="s">
        <v>29</v>
      </c>
      <c r="J85" s="18"/>
      <c r="K85" s="19"/>
      <c r="L85" s="21"/>
      <c r="M85" s="19"/>
      <c r="N85" s="21"/>
      <c r="O85" s="19"/>
      <c r="P85" s="21"/>
      <c r="Q85" s="19"/>
      <c r="R85" s="21"/>
      <c r="S85" s="19"/>
      <c r="T85" s="20"/>
      <c r="V85" s="15" t="s">
        <v>29</v>
      </c>
      <c r="W85" s="18"/>
      <c r="X85" s="19"/>
      <c r="Y85" s="21"/>
      <c r="Z85" s="19"/>
      <c r="AA85" s="21"/>
      <c r="AB85" s="19"/>
      <c r="AC85" s="21"/>
      <c r="AD85" s="19"/>
      <c r="AE85" s="21"/>
      <c r="AF85" s="19"/>
      <c r="AG85" s="20"/>
    </row>
    <row r="86" spans="2:33" ht="21" thickBot="1">
      <c r="M86" s="17"/>
      <c r="N86" s="22"/>
      <c r="O86" s="17"/>
      <c r="P86" s="22"/>
      <c r="Z86" s="17"/>
      <c r="AA86" s="22"/>
      <c r="AB86" s="17"/>
      <c r="AC86" s="22"/>
    </row>
    <row r="87" spans="2:33" ht="21" thickBot="1">
      <c r="I87" s="15" t="s">
        <v>33</v>
      </c>
      <c r="J87" s="17"/>
      <c r="K87" s="17"/>
      <c r="L87" s="18"/>
      <c r="P87" s="23"/>
      <c r="Q87" s="20"/>
      <c r="R87" s="17"/>
      <c r="S87" s="17"/>
      <c r="T87" s="17"/>
      <c r="V87" s="15" t="s">
        <v>33</v>
      </c>
      <c r="W87" s="17"/>
      <c r="X87" s="17"/>
      <c r="Y87" s="18"/>
      <c r="AC87" s="23"/>
      <c r="AD87" s="20"/>
      <c r="AE87" s="17"/>
      <c r="AF87" s="17"/>
      <c r="AG87" s="17"/>
    </row>
    <row r="88" spans="2:33" ht="21" thickBot="1">
      <c r="I88" s="15"/>
      <c r="O88" s="17"/>
      <c r="P88" s="17"/>
      <c r="V88" s="15"/>
      <c r="AB88" s="17"/>
      <c r="AC88" s="17"/>
    </row>
    <row r="89" spans="2:33" ht="21" thickBot="1">
      <c r="I89" s="15" t="s">
        <v>34</v>
      </c>
      <c r="J89" s="24"/>
      <c r="K89" s="24"/>
      <c r="L89" s="24"/>
      <c r="M89" s="17"/>
      <c r="N89" s="18"/>
      <c r="P89" s="23"/>
      <c r="Q89" s="24"/>
      <c r="R89" s="24"/>
      <c r="S89" s="24"/>
      <c r="T89" s="24"/>
      <c r="V89" s="15" t="s">
        <v>34</v>
      </c>
      <c r="W89" s="24"/>
      <c r="X89" s="24"/>
      <c r="Y89" s="24"/>
      <c r="Z89" s="17"/>
      <c r="AA89" s="18"/>
      <c r="AC89" s="23"/>
      <c r="AD89" s="24"/>
      <c r="AE89" s="24"/>
      <c r="AF89" s="24"/>
      <c r="AG89" s="24"/>
    </row>
    <row r="90" spans="2:33" ht="21" thickBot="1">
      <c r="I90" s="15"/>
      <c r="M90" s="22"/>
      <c r="N90" s="17"/>
      <c r="O90" s="17"/>
      <c r="P90" s="17"/>
      <c r="V90" s="15"/>
      <c r="Z90" s="22"/>
      <c r="AA90" s="17"/>
      <c r="AB90" s="17"/>
      <c r="AC90" s="17"/>
    </row>
    <row r="91" spans="2:33" ht="21" thickBot="1">
      <c r="I91" s="15" t="s">
        <v>31</v>
      </c>
      <c r="J91" s="24"/>
      <c r="K91" s="24"/>
      <c r="L91" s="25"/>
      <c r="M91" s="29" t="s">
        <v>114</v>
      </c>
      <c r="N91" s="27"/>
      <c r="O91" s="27"/>
      <c r="P91" s="28"/>
      <c r="Q91" s="24"/>
      <c r="R91" s="24"/>
      <c r="S91" s="24"/>
      <c r="T91" s="24"/>
      <c r="V91" s="15" t="s">
        <v>31</v>
      </c>
      <c r="W91" s="24"/>
      <c r="X91" s="24"/>
      <c r="Y91" s="25"/>
      <c r="Z91" s="29" t="s">
        <v>114</v>
      </c>
      <c r="AA91" s="27"/>
      <c r="AB91" s="27"/>
      <c r="AC91" s="28"/>
      <c r="AD91" s="24"/>
      <c r="AE91" s="24"/>
      <c r="AF91" s="24"/>
      <c r="AG91" s="24"/>
    </row>
    <row r="92" spans="2:33" ht="21" thickBot="1">
      <c r="M92" s="22"/>
      <c r="N92" s="22"/>
      <c r="O92" s="22"/>
    </row>
    <row r="93" spans="2:33" ht="21" thickBot="1">
      <c r="I93" s="15" t="s">
        <v>35</v>
      </c>
      <c r="J93" s="24"/>
      <c r="K93" s="24"/>
      <c r="L93" s="24"/>
      <c r="M93" s="26"/>
      <c r="P93" s="23"/>
      <c r="Q93" s="24"/>
      <c r="R93" s="24"/>
      <c r="S93" s="24"/>
      <c r="T93" s="24"/>
      <c r="V93" s="15" t="s">
        <v>35</v>
      </c>
      <c r="W93" s="24"/>
      <c r="X93" s="24"/>
      <c r="Y93" s="24"/>
      <c r="Z93" s="17"/>
      <c r="AA93" s="17"/>
      <c r="AB93" s="17"/>
      <c r="AC93" s="17"/>
      <c r="AD93" s="24"/>
      <c r="AE93" s="24"/>
      <c r="AF93" s="24"/>
      <c r="AG93" s="24"/>
    </row>
    <row r="94" spans="2:33" ht="21" thickBot="1"/>
    <row r="95" spans="2:33" ht="21" thickBot="1">
      <c r="I95" s="15" t="s">
        <v>37</v>
      </c>
      <c r="J95" s="24"/>
      <c r="K95" s="24"/>
      <c r="L95" s="24"/>
      <c r="M95" s="29" t="s">
        <v>121</v>
      </c>
      <c r="N95" s="27"/>
      <c r="O95" s="27"/>
      <c r="P95" s="28"/>
      <c r="Q95" s="24"/>
      <c r="R95" s="24"/>
      <c r="S95" s="24"/>
      <c r="T95" s="24"/>
      <c r="V95" s="15" t="s">
        <v>119</v>
      </c>
      <c r="W95" s="29">
        <v>0</v>
      </c>
      <c r="X95" s="27"/>
      <c r="Y95" s="27"/>
      <c r="Z95" s="27"/>
      <c r="AA95" s="27"/>
      <c r="AB95" s="27"/>
      <c r="AC95" s="27"/>
      <c r="AD95" s="27"/>
      <c r="AE95" s="27"/>
      <c r="AF95" s="27"/>
      <c r="AG95" s="28"/>
    </row>
    <row r="96" spans="2:33" ht="21" thickBot="1"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</row>
    <row r="97" spans="2:33" ht="21" thickBot="1">
      <c r="I97" s="15" t="s">
        <v>36</v>
      </c>
      <c r="J97" s="24"/>
      <c r="K97" s="24"/>
      <c r="L97" s="24"/>
      <c r="M97" s="29" t="s">
        <v>115</v>
      </c>
      <c r="N97" s="27"/>
      <c r="O97" s="27"/>
      <c r="P97" s="28"/>
      <c r="Q97" s="24"/>
      <c r="R97" s="24"/>
      <c r="S97" s="24"/>
      <c r="T97" s="24"/>
      <c r="V97" s="15" t="s">
        <v>122</v>
      </c>
    </row>
    <row r="98" spans="2:33" ht="21" thickBot="1"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</row>
    <row r="99" spans="2:33">
      <c r="I99" s="15" t="s">
        <v>122</v>
      </c>
    </row>
    <row r="100" spans="2:33" ht="21" thickBot="1">
      <c r="O100" s="17"/>
      <c r="P100" s="17"/>
    </row>
    <row r="101" spans="2:33">
      <c r="I101" s="15" t="s">
        <v>91</v>
      </c>
      <c r="J101" s="24"/>
      <c r="K101" s="24"/>
      <c r="L101" s="24"/>
      <c r="M101" s="24"/>
      <c r="N101" s="24"/>
      <c r="Q101" s="24"/>
      <c r="R101" s="24"/>
      <c r="S101" s="24"/>
      <c r="T101" s="24"/>
    </row>
    <row r="102" spans="2:33" ht="21" thickBot="1"/>
    <row r="103" spans="2:33" ht="21" thickBot="1">
      <c r="I103" s="15" t="s">
        <v>86</v>
      </c>
      <c r="J103" s="24"/>
      <c r="K103" s="24"/>
      <c r="L103" s="24"/>
      <c r="M103" s="24"/>
      <c r="N103" s="24"/>
      <c r="O103" s="29" t="s">
        <v>115</v>
      </c>
      <c r="P103" s="28"/>
      <c r="Q103" s="24"/>
      <c r="R103" s="24"/>
      <c r="S103" s="24"/>
      <c r="T103" s="24"/>
    </row>
    <row r="105" spans="2:33">
      <c r="B105" t="s">
        <v>113</v>
      </c>
      <c r="I105" s="15" t="s">
        <v>128</v>
      </c>
      <c r="V105" s="15" t="s">
        <v>118</v>
      </c>
    </row>
    <row r="106" spans="2:33" ht="21" thickBot="1"/>
    <row r="107" spans="2:33" ht="21" thickBot="1">
      <c r="J107" s="30" t="s">
        <v>129</v>
      </c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V107" s="15" t="s">
        <v>29</v>
      </c>
      <c r="W107" s="18"/>
      <c r="X107" s="19"/>
      <c r="Y107" s="21"/>
      <c r="Z107" s="19"/>
      <c r="AA107" s="21"/>
      <c r="AB107" s="19"/>
      <c r="AC107" s="21"/>
      <c r="AD107" s="19"/>
      <c r="AE107" s="21"/>
      <c r="AF107" s="19"/>
      <c r="AG107" s="20"/>
    </row>
    <row r="108" spans="2:33" ht="21" thickBot="1"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Z108" s="17"/>
      <c r="AA108" s="22"/>
      <c r="AB108" s="17"/>
      <c r="AC108" s="22"/>
    </row>
    <row r="109" spans="2:33" ht="21" thickBot="1"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V109" s="15" t="s">
        <v>33</v>
      </c>
      <c r="W109" s="17"/>
      <c r="X109" s="17"/>
      <c r="Y109" s="18"/>
      <c r="AC109" s="23"/>
      <c r="AD109" s="20"/>
      <c r="AE109" s="17"/>
      <c r="AF109" s="17"/>
      <c r="AG109" s="17"/>
    </row>
    <row r="110" spans="2:33" ht="21" thickBot="1"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V110" s="15"/>
      <c r="AB110" s="17"/>
      <c r="AC110" s="17"/>
    </row>
    <row r="111" spans="2:33" ht="21" thickBot="1"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V111" s="15" t="s">
        <v>34</v>
      </c>
      <c r="W111" s="24"/>
      <c r="X111" s="24"/>
      <c r="Y111" s="24"/>
      <c r="Z111" s="17"/>
      <c r="AA111" s="18"/>
      <c r="AC111" s="23"/>
      <c r="AD111" s="24"/>
      <c r="AE111" s="24"/>
      <c r="AF111" s="24"/>
      <c r="AG111" s="24"/>
    </row>
    <row r="112" spans="2:33" ht="21" thickBot="1"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V112" s="15"/>
      <c r="Z112" s="22"/>
      <c r="AA112" s="17"/>
      <c r="AB112" s="17"/>
      <c r="AC112" s="17"/>
    </row>
    <row r="113" spans="2:33" ht="21" thickBot="1"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V113" s="15" t="s">
        <v>31</v>
      </c>
      <c r="W113" s="24"/>
      <c r="X113" s="24"/>
      <c r="Y113" s="25"/>
      <c r="Z113" s="29" t="s">
        <v>114</v>
      </c>
      <c r="AA113" s="27"/>
      <c r="AB113" s="27"/>
      <c r="AC113" s="28"/>
      <c r="AD113" s="24"/>
      <c r="AE113" s="24"/>
      <c r="AF113" s="24"/>
      <c r="AG113" s="24"/>
    </row>
    <row r="114" spans="2:33"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</row>
    <row r="115" spans="2:33" ht="21" thickBot="1"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V115" s="15" t="s">
        <v>35</v>
      </c>
      <c r="W115" s="24"/>
      <c r="X115" s="24"/>
      <c r="Y115" s="24"/>
      <c r="Z115" s="17"/>
      <c r="AA115" s="17"/>
      <c r="AB115" s="17"/>
      <c r="AC115" s="17"/>
      <c r="AD115" s="24"/>
      <c r="AE115" s="24"/>
      <c r="AF115" s="24"/>
      <c r="AG115" s="24"/>
    </row>
    <row r="116" spans="2:33" ht="21" thickBot="1"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</row>
    <row r="117" spans="2:33" ht="21" thickBot="1"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V117" s="15" t="s">
        <v>119</v>
      </c>
      <c r="W117" s="29">
        <v>0</v>
      </c>
      <c r="X117" s="27"/>
      <c r="Y117" s="27"/>
      <c r="Z117" s="27"/>
      <c r="AA117" s="28"/>
      <c r="AB117" s="29" t="s">
        <v>120</v>
      </c>
      <c r="AC117" s="27"/>
      <c r="AD117" s="29">
        <v>0</v>
      </c>
      <c r="AE117" s="27"/>
      <c r="AF117" s="27"/>
      <c r="AG117" s="28"/>
    </row>
    <row r="118" spans="2:33" ht="21" thickBot="1"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</row>
    <row r="119" spans="2:33"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V119" s="15" t="s">
        <v>122</v>
      </c>
    </row>
    <row r="120" spans="2:33" ht="21" thickBot="1"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Z120" s="17"/>
      <c r="AA120" s="17"/>
    </row>
    <row r="121" spans="2:33"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V121" s="15" t="s">
        <v>92</v>
      </c>
      <c r="W121" s="24"/>
      <c r="X121" s="24"/>
      <c r="Y121" s="24"/>
      <c r="AB121" s="24"/>
      <c r="AC121" s="24"/>
      <c r="AD121" s="24"/>
      <c r="AE121" s="24"/>
      <c r="AF121" s="24"/>
      <c r="AG121" s="24"/>
    </row>
    <row r="122" spans="2:33" ht="21" thickBot="1"/>
    <row r="123" spans="2:33" ht="21" thickBot="1">
      <c r="V123" s="15" t="s">
        <v>87</v>
      </c>
      <c r="W123" s="24"/>
      <c r="X123" s="24"/>
      <c r="Y123" s="24"/>
      <c r="Z123" s="29" t="s">
        <v>120</v>
      </c>
      <c r="AA123" s="27"/>
      <c r="AB123" s="24"/>
      <c r="AC123" s="24"/>
      <c r="AD123" s="24"/>
      <c r="AE123" s="24"/>
      <c r="AF123" s="24"/>
      <c r="AG123" s="24"/>
    </row>
    <row r="126" spans="2:33">
      <c r="B126" t="s">
        <v>123</v>
      </c>
      <c r="I126" s="15" t="s">
        <v>117</v>
      </c>
      <c r="V126" s="15" t="s">
        <v>118</v>
      </c>
    </row>
    <row r="127" spans="2:33" ht="21" thickBot="1"/>
    <row r="128" spans="2:33" ht="21" thickBot="1">
      <c r="I128" s="15" t="s">
        <v>29</v>
      </c>
      <c r="J128" s="18"/>
      <c r="K128" s="19"/>
      <c r="L128" s="21"/>
      <c r="M128" s="19"/>
      <c r="N128" s="21"/>
      <c r="O128" s="19"/>
      <c r="P128" s="21"/>
      <c r="Q128" s="19"/>
      <c r="R128" s="21"/>
      <c r="S128" s="19"/>
      <c r="T128" s="20"/>
      <c r="V128" s="15" t="s">
        <v>29</v>
      </c>
      <c r="W128" s="18"/>
      <c r="X128" s="19"/>
      <c r="Y128" s="21"/>
      <c r="Z128" s="19"/>
      <c r="AA128" s="21"/>
      <c r="AB128" s="19"/>
      <c r="AC128" s="21"/>
      <c r="AD128" s="19"/>
      <c r="AE128" s="21"/>
      <c r="AF128" s="19"/>
      <c r="AG128" s="20"/>
    </row>
    <row r="129" spans="9:33" ht="21" thickBot="1">
      <c r="M129" s="17"/>
      <c r="N129" s="22"/>
      <c r="O129" s="17"/>
      <c r="P129" s="22"/>
      <c r="Z129" s="17"/>
      <c r="AA129" s="22"/>
      <c r="AB129" s="17"/>
      <c r="AC129" s="22"/>
    </row>
    <row r="130" spans="9:33" ht="21" thickBot="1">
      <c r="I130" s="15" t="s">
        <v>33</v>
      </c>
      <c r="J130" s="17"/>
      <c r="K130" s="17"/>
      <c r="L130" s="18"/>
      <c r="P130" s="23"/>
      <c r="Q130" s="20"/>
      <c r="R130" s="17"/>
      <c r="S130" s="17"/>
      <c r="T130" s="17"/>
      <c r="V130" s="15" t="s">
        <v>33</v>
      </c>
      <c r="W130" s="17"/>
      <c r="X130" s="17"/>
      <c r="Y130" s="18"/>
      <c r="AC130" s="23"/>
      <c r="AD130" s="20"/>
      <c r="AE130" s="17"/>
      <c r="AF130" s="17"/>
      <c r="AG130" s="17"/>
    </row>
    <row r="131" spans="9:33" ht="21" thickBot="1">
      <c r="I131" s="15"/>
      <c r="O131" s="17"/>
      <c r="P131" s="17"/>
      <c r="V131" s="15"/>
      <c r="AB131" s="17"/>
      <c r="AC131" s="17"/>
    </row>
    <row r="132" spans="9:33" ht="21" thickBot="1">
      <c r="I132" s="15" t="s">
        <v>34</v>
      </c>
      <c r="J132" s="24"/>
      <c r="K132" s="24"/>
      <c r="L132" s="24"/>
      <c r="M132" s="17"/>
      <c r="N132" s="18"/>
      <c r="P132" s="23"/>
      <c r="Q132" s="24"/>
      <c r="R132" s="24"/>
      <c r="S132" s="24"/>
      <c r="T132" s="24"/>
      <c r="V132" s="15" t="s">
        <v>34</v>
      </c>
      <c r="W132" s="24"/>
      <c r="X132" s="24"/>
      <c r="Y132" s="24"/>
      <c r="Z132" s="17"/>
      <c r="AA132" s="18"/>
      <c r="AC132" s="23"/>
      <c r="AD132" s="24"/>
      <c r="AE132" s="24"/>
      <c r="AF132" s="24"/>
      <c r="AG132" s="24"/>
    </row>
    <row r="133" spans="9:33" ht="21" thickBot="1">
      <c r="I133" s="15"/>
      <c r="M133" s="22"/>
      <c r="N133" s="17"/>
      <c r="O133" s="17"/>
      <c r="P133" s="17"/>
      <c r="V133" s="15"/>
      <c r="Z133" s="22"/>
      <c r="AA133" s="17"/>
      <c r="AB133" s="17"/>
      <c r="AC133" s="17"/>
    </row>
    <row r="134" spans="9:33" ht="21" thickBot="1">
      <c r="I134" s="15" t="s">
        <v>31</v>
      </c>
      <c r="J134" s="24"/>
      <c r="K134" s="24"/>
      <c r="L134" s="25"/>
      <c r="M134" s="29" t="s">
        <v>114</v>
      </c>
      <c r="N134" s="27"/>
      <c r="O134" s="27"/>
      <c r="P134" s="28"/>
      <c r="Q134" s="24"/>
      <c r="R134" s="24"/>
      <c r="S134" s="24"/>
      <c r="T134" s="24"/>
      <c r="V134" s="15" t="s">
        <v>31</v>
      </c>
      <c r="W134" s="24"/>
      <c r="X134" s="24"/>
      <c r="Y134" s="25"/>
      <c r="Z134" s="29" t="s">
        <v>114</v>
      </c>
      <c r="AA134" s="27"/>
      <c r="AB134" s="27"/>
      <c r="AC134" s="28"/>
      <c r="AD134" s="24"/>
      <c r="AE134" s="24"/>
      <c r="AF134" s="24"/>
      <c r="AG134" s="24"/>
    </row>
    <row r="135" spans="9:33" ht="21" thickBot="1">
      <c r="M135" s="22"/>
      <c r="N135" s="22"/>
      <c r="O135" s="22"/>
    </row>
    <row r="136" spans="9:33" ht="21" thickBot="1">
      <c r="I136" s="15" t="s">
        <v>35</v>
      </c>
      <c r="J136" s="24"/>
      <c r="K136" s="24"/>
      <c r="L136" s="24"/>
      <c r="M136" s="26"/>
      <c r="P136" s="23"/>
      <c r="Q136" s="24"/>
      <c r="R136" s="24"/>
      <c r="S136" s="24"/>
      <c r="T136" s="24"/>
      <c r="V136" s="15" t="s">
        <v>35</v>
      </c>
      <c r="W136" s="24"/>
      <c r="X136" s="24"/>
      <c r="Y136" s="24"/>
      <c r="Z136" s="17"/>
      <c r="AA136" s="17"/>
      <c r="AB136" s="17"/>
      <c r="AC136" s="17"/>
      <c r="AD136" s="24"/>
      <c r="AE136" s="24"/>
      <c r="AF136" s="24"/>
      <c r="AG136" s="24"/>
    </row>
    <row r="137" spans="9:33" ht="21" thickBot="1"/>
    <row r="138" spans="9:33" ht="21" thickBot="1">
      <c r="I138" s="15" t="s">
        <v>37</v>
      </c>
      <c r="J138" s="24"/>
      <c r="K138" s="24"/>
      <c r="L138" s="24"/>
      <c r="M138" s="29" t="s">
        <v>121</v>
      </c>
      <c r="N138" s="27"/>
      <c r="O138" s="27"/>
      <c r="P138" s="28"/>
      <c r="Q138" s="24"/>
      <c r="R138" s="24"/>
      <c r="S138" s="24"/>
      <c r="T138" s="24"/>
      <c r="V138" s="15" t="s">
        <v>119</v>
      </c>
      <c r="W138" s="29">
        <v>0</v>
      </c>
      <c r="X138" s="27"/>
      <c r="Y138" s="27"/>
      <c r="Z138" s="27"/>
      <c r="AA138" s="28"/>
      <c r="AB138" s="29" t="s">
        <v>120</v>
      </c>
      <c r="AC138" s="27"/>
      <c r="AD138" s="29">
        <v>0</v>
      </c>
      <c r="AE138" s="27"/>
      <c r="AF138" s="27"/>
      <c r="AG138" s="28"/>
    </row>
    <row r="139" spans="9:33" ht="21" thickBot="1"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</row>
    <row r="140" spans="9:33" ht="21" thickBot="1">
      <c r="I140" s="15" t="s">
        <v>36</v>
      </c>
      <c r="J140" s="24"/>
      <c r="K140" s="24"/>
      <c r="L140" s="24"/>
      <c r="M140" s="29" t="s">
        <v>115</v>
      </c>
      <c r="N140" s="27"/>
      <c r="O140" s="27"/>
      <c r="P140" s="28"/>
      <c r="Q140" s="24"/>
      <c r="R140" s="24"/>
      <c r="S140" s="24"/>
      <c r="T140" s="24"/>
      <c r="V140" s="15" t="s">
        <v>122</v>
      </c>
    </row>
    <row r="141" spans="9:33" ht="21" thickBot="1"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Z141" s="17"/>
      <c r="AA141" s="17"/>
    </row>
    <row r="142" spans="9:33">
      <c r="I142" s="15" t="s">
        <v>122</v>
      </c>
      <c r="V142" s="15" t="s">
        <v>92</v>
      </c>
      <c r="W142" s="24"/>
      <c r="X142" s="24"/>
      <c r="Y142" s="24"/>
      <c r="AB142" s="24"/>
      <c r="AC142" s="24"/>
      <c r="AD142" s="24"/>
      <c r="AE142" s="24"/>
      <c r="AF142" s="24"/>
      <c r="AG142" s="24"/>
    </row>
    <row r="143" spans="9:33" ht="21" thickBot="1">
      <c r="O143" s="17"/>
      <c r="P143" s="17"/>
    </row>
    <row r="144" spans="9:33" ht="21" thickBot="1">
      <c r="I144" s="15" t="s">
        <v>91</v>
      </c>
      <c r="J144" s="24"/>
      <c r="K144" s="24"/>
      <c r="L144" s="24"/>
      <c r="M144" s="24"/>
      <c r="N144" s="24"/>
      <c r="Q144" s="24"/>
      <c r="R144" s="24"/>
      <c r="S144" s="24"/>
      <c r="T144" s="24"/>
      <c r="V144" s="15" t="s">
        <v>87</v>
      </c>
      <c r="W144" s="24"/>
      <c r="X144" s="24"/>
      <c r="Y144" s="24"/>
      <c r="Z144" s="29" t="s">
        <v>120</v>
      </c>
      <c r="AA144" s="27"/>
      <c r="AB144" s="24"/>
      <c r="AC144" s="24"/>
      <c r="AD144" s="24"/>
      <c r="AE144" s="24"/>
      <c r="AF144" s="24"/>
      <c r="AG144" s="24"/>
    </row>
    <row r="145" spans="9:20" ht="21" thickBot="1"/>
    <row r="146" spans="9:20" ht="21" thickBot="1">
      <c r="I146" s="15" t="s">
        <v>86</v>
      </c>
      <c r="J146" s="24"/>
      <c r="K146" s="24"/>
      <c r="L146" s="24"/>
      <c r="M146" s="24"/>
      <c r="N146" s="24"/>
      <c r="O146" s="29" t="s">
        <v>115</v>
      </c>
      <c r="P146" s="28"/>
      <c r="Q146" s="24"/>
      <c r="R146" s="24"/>
      <c r="S146" s="24"/>
      <c r="T146" s="24"/>
    </row>
  </sheetData>
  <mergeCells count="1">
    <mergeCell ref="J107:T121"/>
  </mergeCells>
  <phoneticPr fontId="1"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604-C804-0040-BC82-639941ECA259}">
  <sheetPr codeName="Sheet2"/>
  <dimension ref="A1:A4"/>
  <sheetViews>
    <sheetView workbookViewId="0">
      <selection activeCell="B3" sqref="B3"/>
    </sheetView>
  </sheetViews>
  <sheetFormatPr baseColWidth="10" defaultRowHeight="20"/>
  <sheetData>
    <row r="1" spans="1:1">
      <c r="A1" t="s">
        <v>6</v>
      </c>
    </row>
    <row r="2" spans="1:1">
      <c r="A2" t="s">
        <v>125</v>
      </c>
    </row>
    <row r="3" spans="1:1">
      <c r="A3" t="s">
        <v>5</v>
      </c>
    </row>
    <row r="4" spans="1:1">
      <c r="A4" t="s">
        <v>49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Template</vt:lpstr>
      <vt:lpstr>Readme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河合 遼</dc:creator>
  <cp:lastModifiedBy>遼 河合</cp:lastModifiedBy>
  <dcterms:created xsi:type="dcterms:W3CDTF">2024-05-18T05:47:35Z</dcterms:created>
  <dcterms:modified xsi:type="dcterms:W3CDTF">2024-08-15T17:06:32Z</dcterms:modified>
</cp:coreProperties>
</file>